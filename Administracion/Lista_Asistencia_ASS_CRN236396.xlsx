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ddf5fb2bc65e958/Documentos/GitHub/lc_arquitectura_de_sistemas_de_seguridad/Administracion/"/>
    </mc:Choice>
  </mc:AlternateContent>
  <xr:revisionPtr revIDLastSave="39" documentId="13_ncr:1_{702E06F4-7ABE-4278-9F4F-32BE2150E49A}" xr6:coauthVersionLast="47" xr6:coauthVersionMax="47" xr10:uidLastSave="{F70B20E0-8ED9-4973-A91C-E751630F28CA}"/>
  <bookViews>
    <workbookView xWindow="-120" yWindow="-120" windowWidth="29040" windowHeight="15720" tabRatio="500" xr2:uid="{00000000-000D-0000-FFFF-FFFF00000000}"/>
  </bookViews>
  <sheets>
    <sheet name="Asistencia" sheetId="1" r:id="rId1"/>
    <sheet name="Resum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33" i="1" l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M32" i="1"/>
  <c r="F29" i="2" s="1"/>
  <c r="AL32" i="1"/>
  <c r="E29" i="2" s="1"/>
  <c r="AM31" i="1"/>
  <c r="F28" i="2" s="1"/>
  <c r="AL31" i="1"/>
  <c r="E28" i="2" s="1"/>
  <c r="AM30" i="1"/>
  <c r="F27" i="2" s="1"/>
  <c r="AL30" i="1"/>
  <c r="AN30" i="1" s="1"/>
  <c r="AM29" i="1"/>
  <c r="F26" i="2" s="1"/>
  <c r="AL29" i="1"/>
  <c r="AN29" i="1" s="1"/>
  <c r="AM28" i="1"/>
  <c r="F25" i="2" s="1"/>
  <c r="AL28" i="1"/>
  <c r="E25" i="2" s="1"/>
  <c r="AM27" i="1"/>
  <c r="F24" i="2" s="1"/>
  <c r="AL27" i="1"/>
  <c r="E24" i="2" s="1"/>
  <c r="AM26" i="1"/>
  <c r="F23" i="2" s="1"/>
  <c r="AL26" i="1"/>
  <c r="E23" i="2" s="1"/>
  <c r="AM25" i="1"/>
  <c r="F22" i="2" s="1"/>
  <c r="AL25" i="1"/>
  <c r="AN25" i="1" s="1"/>
  <c r="AM24" i="1"/>
  <c r="F21" i="2" s="1"/>
  <c r="AL24" i="1"/>
  <c r="E21" i="2" s="1"/>
  <c r="AM23" i="1"/>
  <c r="F20" i="2" s="1"/>
  <c r="AL23" i="1"/>
  <c r="E20" i="2" s="1"/>
  <c r="AM22" i="1"/>
  <c r="F19" i="2" s="1"/>
  <c r="AL22" i="1"/>
  <c r="AN22" i="1" s="1"/>
  <c r="AM21" i="1"/>
  <c r="F18" i="2" s="1"/>
  <c r="AL21" i="1"/>
  <c r="E18" i="2" s="1"/>
  <c r="AM20" i="1"/>
  <c r="F17" i="2" s="1"/>
  <c r="AL20" i="1"/>
  <c r="E17" i="2" s="1"/>
  <c r="AM19" i="1"/>
  <c r="F16" i="2" s="1"/>
  <c r="AL19" i="1"/>
  <c r="E16" i="2" s="1"/>
  <c r="AM18" i="1"/>
  <c r="F15" i="2" s="1"/>
  <c r="AL18" i="1"/>
  <c r="AN18" i="1" s="1"/>
  <c r="AM17" i="1"/>
  <c r="F14" i="2" s="1"/>
  <c r="AL17" i="1"/>
  <c r="AN17" i="1" s="1"/>
  <c r="AM16" i="1"/>
  <c r="F13" i="2" s="1"/>
  <c r="AL16" i="1"/>
  <c r="E13" i="2" s="1"/>
  <c r="AM15" i="1"/>
  <c r="F12" i="2" s="1"/>
  <c r="AL15" i="1"/>
  <c r="E12" i="2" s="1"/>
  <c r="AM14" i="1"/>
  <c r="F11" i="2" s="1"/>
  <c r="AL14" i="1"/>
  <c r="E11" i="2" s="1"/>
  <c r="AM13" i="1"/>
  <c r="F10" i="2" s="1"/>
  <c r="AL13" i="1"/>
  <c r="AN13" i="1" s="1"/>
  <c r="AM12" i="1"/>
  <c r="F9" i="2" s="1"/>
  <c r="AL12" i="1"/>
  <c r="E9" i="2" s="1"/>
  <c r="AM11" i="1"/>
  <c r="F8" i="2" s="1"/>
  <c r="AL11" i="1"/>
  <c r="E8" i="2" s="1"/>
  <c r="AM10" i="1"/>
  <c r="F7" i="2" s="1"/>
  <c r="AL10" i="1"/>
  <c r="E7" i="2" s="1"/>
  <c r="AM9" i="1"/>
  <c r="F6" i="2" s="1"/>
  <c r="AL9" i="1"/>
  <c r="AN9" i="1" s="1"/>
  <c r="AM8" i="1"/>
  <c r="F5" i="2" s="1"/>
  <c r="AL8" i="1"/>
  <c r="E5" i="2" s="1"/>
  <c r="AM7" i="1"/>
  <c r="F4" i="2" s="1"/>
  <c r="AL7" i="1"/>
  <c r="E4" i="2" s="1"/>
  <c r="AM6" i="1"/>
  <c r="F3" i="2" s="1"/>
  <c r="AL6" i="1"/>
  <c r="AN6" i="1" s="1"/>
  <c r="AN19" i="1" l="1"/>
  <c r="H16" i="2" s="1"/>
  <c r="AN7" i="1"/>
  <c r="H4" i="2" s="1"/>
  <c r="AN21" i="1"/>
  <c r="H18" i="2" s="1"/>
  <c r="AN26" i="1"/>
  <c r="H23" i="2" s="1"/>
  <c r="AN14" i="1"/>
  <c r="H11" i="2" s="1"/>
  <c r="AN28" i="1"/>
  <c r="H25" i="2" s="1"/>
  <c r="AN23" i="1"/>
  <c r="H20" i="2" s="1"/>
  <c r="AN12" i="1"/>
  <c r="H9" i="2" s="1"/>
  <c r="AN10" i="1"/>
  <c r="H7" i="2" s="1"/>
  <c r="H10" i="2"/>
  <c r="G10" i="2"/>
  <c r="H6" i="2"/>
  <c r="G6" i="2"/>
  <c r="H27" i="2"/>
  <c r="G27" i="2"/>
  <c r="H3" i="2"/>
  <c r="G3" i="2"/>
  <c r="H14" i="2"/>
  <c r="G14" i="2"/>
  <c r="H15" i="2"/>
  <c r="G15" i="2"/>
  <c r="H26" i="2"/>
  <c r="G26" i="2"/>
  <c r="H22" i="2"/>
  <c r="G22" i="2"/>
  <c r="H19" i="2"/>
  <c r="G19" i="2"/>
  <c r="AN20" i="1"/>
  <c r="AN15" i="1"/>
  <c r="AN31" i="1"/>
  <c r="E6" i="2"/>
  <c r="E10" i="2"/>
  <c r="E14" i="2"/>
  <c r="E22" i="2"/>
  <c r="E26" i="2"/>
  <c r="AN16" i="1"/>
  <c r="AN32" i="1"/>
  <c r="AN27" i="1"/>
  <c r="E3" i="2"/>
  <c r="E15" i="2"/>
  <c r="E19" i="2"/>
  <c r="E27" i="2"/>
  <c r="AN11" i="1"/>
  <c r="G4" i="2"/>
  <c r="G16" i="2"/>
  <c r="AN8" i="1"/>
  <c r="AN24" i="1"/>
  <c r="G18" i="2" l="1"/>
  <c r="G11" i="2"/>
  <c r="G7" i="2"/>
  <c r="G23" i="2"/>
  <c r="G25" i="2"/>
  <c r="G20" i="2"/>
  <c r="G9" i="2"/>
  <c r="H24" i="2"/>
  <c r="G24" i="2"/>
  <c r="H29" i="2"/>
  <c r="G29" i="2"/>
  <c r="H21" i="2"/>
  <c r="G21" i="2"/>
  <c r="H12" i="2"/>
  <c r="G12" i="2"/>
  <c r="H13" i="2"/>
  <c r="G13" i="2"/>
  <c r="H17" i="2"/>
  <c r="G17" i="2"/>
  <c r="H28" i="2"/>
  <c r="G28" i="2"/>
  <c r="H5" i="2"/>
  <c r="G5" i="2"/>
  <c r="H8" i="2"/>
  <c r="G8" i="2"/>
</calcChain>
</file>

<file path=xl/sharedStrings.xml><?xml version="1.0" encoding="utf-8"?>
<sst xmlns="http://schemas.openxmlformats.org/spreadsheetml/2006/main" count="803" uniqueCount="149">
  <si>
    <t>LISTA DE ASISTENCIA — ARQUITECTURA DE SISTEMAS DE SEGURIDAD  |  Ciclo 2026-A  |  CRN 236396  |  Sección 401  |  Aula 101 Edif. 4L</t>
  </si>
  <si>
    <t>CUGDL · UDG  |  Licenciatura en Ciberseguridad  |  19 Enero – 29 Mayo 2026  |  Horario: L 07:00-08:55  Mi 09:00-10:55  |  Prof. Titular: Luis Alberto Maciel Arellano  |  Prof. Suplente: Carlos Pulido Rosas  |  Total sesiones válidas: 32</t>
  </si>
  <si>
    <t>#</t>
  </si>
  <si>
    <t>APELLIDO(S)</t>
  </si>
  <si>
    <t>NOMBRE(S)</t>
  </si>
  <si>
    <t>CÓDIGO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</si>
  <si>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</si>
  <si>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</si>
  <si>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</si>
  <si>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</si>
  <si>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</si>
  <si>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</si>
  <si>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</si>
  <si>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</si>
  <si>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</si>
  <si>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</si>
  <si>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</si>
  <si>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</si>
  <si>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</si>
  <si>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</si>
  <si>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</si>
  <si>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</si>
  <si>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ASIST.</t>
  </si>
  <si>
    <t>FALTAS</t>
  </si>
  <si>
    <t>% ASIST.</t>
  </si>
  <si>
    <t>L</t>
  </si>
  <si>
    <t>Mi</t>
  </si>
  <si>
    <t>19/01</t>
  </si>
  <si>
    <t>21/01</t>
  </si>
  <si>
    <t>26/01</t>
  </si>
  <si>
    <t>28/01</t>
  </si>
  <si>
    <t>02/02</t>
  </si>
  <si>
    <t>04/02</t>
  </si>
  <si>
    <t>09/02</t>
  </si>
  <si>
    <t>11/02</t>
  </si>
  <si>
    <t>16/02</t>
  </si>
  <si>
    <t>18/02</t>
  </si>
  <si>
    <t>23/02</t>
  </si>
  <si>
    <t>25/02</t>
  </si>
  <si>
    <t>02/03</t>
  </si>
  <si>
    <t>04/03</t>
  </si>
  <si>
    <t>09/03</t>
  </si>
  <si>
    <t>11/03</t>
  </si>
  <si>
    <t>16/03</t>
  </si>
  <si>
    <t>18/03</t>
  </si>
  <si>
    <t>23/03</t>
  </si>
  <si>
    <t>25/03</t>
  </si>
  <si>
    <t>13/04</t>
  </si>
  <si>
    <t>15/04</t>
  </si>
  <si>
    <t>20/04</t>
  </si>
  <si>
    <t>22/04</t>
  </si>
  <si>
    <t>27/04</t>
  </si>
  <si>
    <t>29/04</t>
  </si>
  <si>
    <t>04/05</t>
  </si>
  <si>
    <t>06/05</t>
  </si>
  <si>
    <t>11/05</t>
  </si>
  <si>
    <t>13/05</t>
  </si>
  <si>
    <t>18/05</t>
  </si>
  <si>
    <t>20/05</t>
  </si>
  <si>
    <t>ACOSTA SANDOVAL</t>
  </si>
  <si>
    <t>ROGELIO ESAU</t>
  </si>
  <si>
    <t>220840099</t>
  </si>
  <si>
    <t>ARIAS CASTELLON</t>
  </si>
  <si>
    <t>GABRIELA ESPERA</t>
  </si>
  <si>
    <t>088404858</t>
  </si>
  <si>
    <t>AVALOS RODRIGUEZ</t>
  </si>
  <si>
    <t>KAROL GUADALUPE</t>
  </si>
  <si>
    <t>224164552</t>
  </si>
  <si>
    <t>CARCAÑO AGUAYO</t>
  </si>
  <si>
    <t>ANDREA LISSETH</t>
  </si>
  <si>
    <t>221449008</t>
  </si>
  <si>
    <t>DE LA VEGA SANCHEZ</t>
  </si>
  <si>
    <t>ISIS KAROL</t>
  </si>
  <si>
    <t>221450537</t>
  </si>
  <si>
    <t>DE LUNA MOZQUEDA</t>
  </si>
  <si>
    <t>EMMANUEL</t>
  </si>
  <si>
    <t>209015442</t>
  </si>
  <si>
    <t>FRANCO ARELLANO</t>
  </si>
  <si>
    <t>DAPHNE WENDOLYN</t>
  </si>
  <si>
    <t>219051455</t>
  </si>
  <si>
    <t>FREGOSO SANCHEZ</t>
  </si>
  <si>
    <t>PAOLA</t>
  </si>
  <si>
    <t>216592013</t>
  </si>
  <si>
    <t>GARAY GUZMAN</t>
  </si>
  <si>
    <t>CRISTIAN RENE</t>
  </si>
  <si>
    <t>220105445</t>
  </si>
  <si>
    <t>GERALDO RUBIO</t>
  </si>
  <si>
    <t>JUAN ANTONIO</t>
  </si>
  <si>
    <t>224164554</t>
  </si>
  <si>
    <t>GOMEZ CASTORENA</t>
  </si>
  <si>
    <t>ERICK JOSUE</t>
  </si>
  <si>
    <t>212477198</t>
  </si>
  <si>
    <t>GONZALEZ CALVILLO</t>
  </si>
  <si>
    <t>TANIA MARIA</t>
  </si>
  <si>
    <t>221597082</t>
  </si>
  <si>
    <t>GONZALEZ CUELLAR</t>
  </si>
  <si>
    <t>EDGAR OSWALDO</t>
  </si>
  <si>
    <t>221217808</t>
  </si>
  <si>
    <t>GONZALEZ MEDRANO</t>
  </si>
  <si>
    <t>LILIANA ARALI</t>
  </si>
  <si>
    <t>218510383</t>
  </si>
  <si>
    <t>HERNANDEZ VENEGAS</t>
  </si>
  <si>
    <t>TABATA CRISTINA</t>
  </si>
  <si>
    <t>219873528</t>
  </si>
  <si>
    <t>HERNANDEZ VILLANUEVA</t>
  </si>
  <si>
    <t>VICTOR DANIEL</t>
  </si>
  <si>
    <t>224164539</t>
  </si>
  <si>
    <t>IBARRA GRACIA</t>
  </si>
  <si>
    <t>DIEGO DAVID</t>
  </si>
  <si>
    <t>218506645</t>
  </si>
  <si>
    <t>LAZOS CRUZ</t>
  </si>
  <si>
    <t>ALLISON</t>
  </si>
  <si>
    <t>221488607</t>
  </si>
  <si>
    <t>MARTINEZ DURAN</t>
  </si>
  <si>
    <t>MAHONRI MORIANC</t>
  </si>
  <si>
    <t>220468319</t>
  </si>
  <si>
    <t>MARTINEZ GUTIERREZ</t>
  </si>
  <si>
    <t>DIEGO EUGENIO</t>
  </si>
  <si>
    <t>224164553</t>
  </si>
  <si>
    <t>MUÑOZ RIVAS</t>
  </si>
  <si>
    <t>JOSHUA</t>
  </si>
  <si>
    <t>224164546</t>
  </si>
  <si>
    <t>PEREZ GOMEZ</t>
  </si>
  <si>
    <t>MARIA ANDREA</t>
  </si>
  <si>
    <t>216797103</t>
  </si>
  <si>
    <t>PIMENTEL MELGOZA</t>
  </si>
  <si>
    <t>ISRAEL RICARDO</t>
  </si>
  <si>
    <t>224164542</t>
  </si>
  <si>
    <t>PONCE RAMIREZ</t>
  </si>
  <si>
    <t>JORGE ALBERTO</t>
  </si>
  <si>
    <t>210610982</t>
  </si>
  <si>
    <t>REYES OLMEDO</t>
  </si>
  <si>
    <t>CHRISTIAN ALEJA</t>
  </si>
  <si>
    <t>302356759</t>
  </si>
  <si>
    <t>ROJAS BOBADILLA</t>
  </si>
  <si>
    <t>ALVARO ARTURO</t>
  </si>
  <si>
    <t>224164555</t>
  </si>
  <si>
    <t>ZARAGOZA BRAMBILA</t>
  </si>
  <si>
    <t>FABIAN ISAI</t>
  </si>
  <si>
    <t>220417773</t>
  </si>
  <si>
    <t>ASISTENCIAS POR SESIÓN</t>
  </si>
  <si>
    <t xml:space="preserve">  ✅ "A" = Asistencia    ❌ "F" = Falta    📝 "J" = Justificada (no cuenta en fórmula)    ⬛ "—" = Sesión de vacaciones (bloqueada)    Semana Santa: 30 Mar – 12 Abr 2026</t>
  </si>
  <si>
    <t>RESUMEN DE ASISTENCIA — ARQ. SISTEMAS DE SEGURIDAD  |  Ciclo 2026-A  |  CRN 236396</t>
  </si>
  <si>
    <t>ASISTENCIAS</t>
  </si>
  <si>
    <t>STATUS</t>
  </si>
  <si>
    <t>A</t>
  </si>
  <si>
    <t>-</t>
  </si>
  <si>
    <t>F</t>
  </si>
  <si>
    <t>Puntos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</si>
</sst>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rgb="FF444444"/>
      <name val="Arial"/>
      <family val="2"/>
    </font>
    <font>
      <b/>
      <sz val="9"/>
      <color rgb="FFFFFFFF"/>
      <name val="Arial"/>
      <family val="2"/>
    </font>
    <font>
      <i/>
      <sz val="8"/>
      <color rgb="FF44444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F3D22"/>
        <bgColor rgb="FF333300"/>
      </patternFill>
    </fill>
    <fill>
      <patternFill patternType="solid">
        <fgColor rgb="FF1A5C33"/>
        <bgColor rgb="FF237A44"/>
      </patternFill>
    </fill>
    <fill>
      <patternFill patternType="solid">
        <fgColor rgb="FF7B6000"/>
        <bgColor rgb="FF993300"/>
      </patternFill>
    </fill>
    <fill>
      <patternFill patternType="solid">
        <fgColor rgb="FF237A44"/>
        <bgColor rgb="FF1A5C33"/>
      </patternFill>
    </fill>
    <fill>
      <patternFill patternType="solid">
        <fgColor rgb="FFF2F7F2"/>
        <bgColor rgb="FFF5F5F5"/>
      </patternFill>
    </fill>
    <fill>
      <patternFill patternType="solid">
        <fgColor rgb="FFEAF4EA"/>
        <bgColor rgb="FFF2F7F2"/>
      </patternFill>
    </fill>
    <fill>
      <patternFill patternType="solid">
        <fgColor rgb="FFFDE9E9"/>
        <bgColor rgb="FFF5F5F5"/>
      </patternFill>
    </fill>
    <fill>
      <patternFill patternType="solid">
        <fgColor rgb="FFFFF9E6"/>
        <bgColor rgb="FFF5F5F5"/>
      </patternFill>
    </fill>
    <fill>
      <patternFill patternType="solid">
        <fgColor rgb="FFFFFFFF"/>
        <bgColor rgb="FFFFF9E6"/>
      </patternFill>
    </fill>
    <fill>
      <patternFill patternType="solid">
        <fgColor rgb="FFF5F5F5"/>
        <bgColor rgb="FFF2F7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CCFF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3"/>
      <rgbColor rgb="FF000080"/>
      <rgbColor rgb="FF7B6000"/>
      <rgbColor rgb="FF800080"/>
      <rgbColor rgb="FF008080"/>
      <rgbColor rgb="FFCCCCCC"/>
      <rgbColor rgb="FF808080"/>
      <rgbColor rgb="FF9999FF"/>
      <rgbColor rgb="FF993366"/>
      <rgbColor rgb="FFFFF9E6"/>
      <rgbColor rgb="FFEAF4EA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2"/>
      <rgbColor rgb="FFCCFFCC"/>
      <rgbColor rgb="FFFDE9E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37A44"/>
      <rgbColor rgb="FF0F3D22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4"/>
  <sheetViews>
    <sheetView tabSelected="1" zoomScaleNormal="100" workbookViewId="0">
      <pane xSplit="4" ySplit="5" topLeftCell="E12" activePane="bottomRight" state="frozen"/>
      <selection pane="topRight" activeCell="E1" sqref="E1"/>
      <selection pane="bottomLeft" activeCell="A6" sqref="A6"/>
      <selection pane="bottomRight" activeCell="AO16" sqref="AO16"/>
    </sheetView>
  </sheetViews>
  <sheetFormatPr defaultColWidth="8.7109375" defaultRowHeight="15" x14ac:dyDescent="0.25"/>
  <cols>
    <col min="1" max="1" width="4" customWidth="1"/>
    <col min="2" max="2" width="22" customWidth="1"/>
    <col min="3" max="3" width="20" customWidth="1"/>
    <col min="4" max="5" width="12" customWidth="1"/>
    <col min="6" max="37" width="4.42578125" customWidth="1"/>
    <col min="38" max="39" width="7" customWidth="1"/>
    <col min="40" max="40" width="9" customWidth="1"/>
  </cols>
  <sheetData>
    <row r="1" spans="1:40" ht="25.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</row>
    <row r="2" spans="1:40" ht="15.75" customHeight="1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</row>
    <row r="3" spans="1:40" ht="19.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2" t="s">
        <v>148</v>
      </c>
      <c r="F3" s="22" t="s">
        <v>6</v>
      </c>
      <c r="G3" s="22"/>
      <c r="H3" s="23" t="s">
        <v>7</v>
      </c>
      <c r="I3" s="23"/>
      <c r="J3" s="22" t="s">
        <v>8</v>
      </c>
      <c r="K3" s="22"/>
      <c r="L3" s="23" t="s">
        <v>9</v>
      </c>
      <c r="M3" s="23"/>
      <c r="N3" s="22" t="s">
        <v>10</v>
      </c>
      <c r="O3" s="22"/>
      <c r="P3" s="23" t="s">
        <v>11</v>
      </c>
      <c r="Q3" s="23"/>
      <c r="R3" s="22" t="s">
        <v>12</v>
      </c>
      <c r="S3" s="22"/>
      <c r="T3" s="23" t="s">
        <v>13</v>
      </c>
      <c r="U3" s="23"/>
      <c r="V3" s="22" t="s">
        <v>14</v>
      </c>
      <c r="W3" s="22"/>
      <c r="X3" s="23" t="s">
        <v>15</v>
      </c>
      <c r="Y3" s="23"/>
      <c r="Z3" s="22" t="s">
        <v>16</v>
      </c>
      <c r="AA3" s="22"/>
      <c r="AB3" s="23" t="s">
        <v>17</v>
      </c>
      <c r="AC3" s="23"/>
      <c r="AD3" s="22" t="s">
        <v>18</v>
      </c>
      <c r="AE3" s="22"/>
      <c r="AF3" s="23" t="s">
        <v>19</v>
      </c>
      <c r="AG3" s="23"/>
      <c r="AH3" s="22" t="s">
        <v>20</v>
      </c>
      <c r="AI3" s="22"/>
      <c r="AJ3" s="23" t="s">
        <v>21</v>
      </c>
      <c r="AK3" s="23"/>
      <c r="AL3" s="4" t="s">
        <v>22</v>
      </c>
      <c r="AM3" s="4" t="s">
        <v>23</v>
      </c>
      <c r="AN3" s="4" t="s">
        <v>24</v>
      </c>
    </row>
    <row r="4" spans="1:40" ht="13.5" customHeight="1" x14ac:dyDescent="0.25">
      <c r="A4" s="5"/>
      <c r="B4" s="5"/>
      <c r="C4" s="5"/>
      <c r="D4" s="5"/>
      <c r="E4" s="5"/>
      <c r="F4" s="6" t="s">
        <v>25</v>
      </c>
      <c r="G4" s="7" t="s">
        <v>26</v>
      </c>
      <c r="H4" s="6" t="s">
        <v>25</v>
      </c>
      <c r="I4" s="7" t="s">
        <v>26</v>
      </c>
      <c r="J4" s="6" t="s">
        <v>25</v>
      </c>
      <c r="K4" s="7" t="s">
        <v>26</v>
      </c>
      <c r="L4" s="6" t="s">
        <v>25</v>
      </c>
      <c r="M4" s="7" t="s">
        <v>26</v>
      </c>
      <c r="N4" s="6" t="s">
        <v>25</v>
      </c>
      <c r="O4" s="7" t="s">
        <v>26</v>
      </c>
      <c r="P4" s="6" t="s">
        <v>25</v>
      </c>
      <c r="Q4" s="7" t="s">
        <v>26</v>
      </c>
      <c r="R4" s="6" t="s">
        <v>25</v>
      </c>
      <c r="S4" s="7" t="s">
        <v>26</v>
      </c>
      <c r="T4" s="6" t="s">
        <v>25</v>
      </c>
      <c r="U4" s="7" t="s">
        <v>26</v>
      </c>
      <c r="V4" s="6" t="s">
        <v>25</v>
      </c>
      <c r="W4" s="7" t="s">
        <v>26</v>
      </c>
      <c r="X4" s="6" t="s">
        <v>25</v>
      </c>
      <c r="Y4" s="7" t="s">
        <v>26</v>
      </c>
      <c r="Z4" s="6" t="s">
        <v>25</v>
      </c>
      <c r="AA4" s="7" t="s">
        <v>26</v>
      </c>
      <c r="AB4" s="6" t="s">
        <v>25</v>
      </c>
      <c r="AC4" s="7" t="s">
        <v>26</v>
      </c>
      <c r="AD4" s="6" t="s">
        <v>25</v>
      </c>
      <c r="AE4" s="7" t="s">
        <v>26</v>
      </c>
      <c r="AF4" s="6" t="s">
        <v>25</v>
      </c>
      <c r="AG4" s="7" t="s">
        <v>26</v>
      </c>
      <c r="AH4" s="6" t="s">
        <v>25</v>
      </c>
      <c r="AI4" s="7" t="s">
        <v>26</v>
      </c>
      <c r="AJ4" s="6" t="s">
        <v>25</v>
      </c>
      <c r="AK4" s="7" t="s">
        <v>26</v>
      </c>
      <c r="AL4" s="8"/>
      <c r="AM4" s="8"/>
      <c r="AN4" s="8"/>
    </row>
    <row r="5" spans="1:40" ht="27.75" customHeight="1" x14ac:dyDescent="0.25">
      <c r="A5" s="5"/>
      <c r="B5" s="5"/>
      <c r="C5" s="5"/>
      <c r="D5" s="5"/>
      <c r="E5" s="5"/>
      <c r="F5" s="6" t="s">
        <v>27</v>
      </c>
      <c r="G5" s="7" t="s">
        <v>28</v>
      </c>
      <c r="H5" s="6" t="s">
        <v>29</v>
      </c>
      <c r="I5" s="7" t="s">
        <v>30</v>
      </c>
      <c r="J5" s="6" t="s">
        <v>31</v>
      </c>
      <c r="K5" s="7" t="s">
        <v>32</v>
      </c>
      <c r="L5" s="6" t="s">
        <v>33</v>
      </c>
      <c r="M5" s="7" t="s">
        <v>34</v>
      </c>
      <c r="N5" s="6" t="s">
        <v>35</v>
      </c>
      <c r="O5" s="7" t="s">
        <v>36</v>
      </c>
      <c r="P5" s="6" t="s">
        <v>37</v>
      </c>
      <c r="Q5" s="7" t="s">
        <v>38</v>
      </c>
      <c r="R5" s="6" t="s">
        <v>39</v>
      </c>
      <c r="S5" s="7" t="s">
        <v>40</v>
      </c>
      <c r="T5" s="6" t="s">
        <v>41</v>
      </c>
      <c r="U5" s="7" t="s">
        <v>42</v>
      </c>
      <c r="V5" s="6" t="s">
        <v>43</v>
      </c>
      <c r="W5" s="7" t="s">
        <v>44</v>
      </c>
      <c r="X5" s="6" t="s">
        <v>45</v>
      </c>
      <c r="Y5" s="7" t="s">
        <v>46</v>
      </c>
      <c r="Z5" s="6" t="s">
        <v>47</v>
      </c>
      <c r="AA5" s="7" t="s">
        <v>48</v>
      </c>
      <c r="AB5" s="6" t="s">
        <v>49</v>
      </c>
      <c r="AC5" s="7" t="s">
        <v>50</v>
      </c>
      <c r="AD5" s="6" t="s">
        <v>51</v>
      </c>
      <c r="AE5" s="7" t="s">
        <v>52</v>
      </c>
      <c r="AF5" s="6" t="s">
        <v>53</v>
      </c>
      <c r="AG5" s="7" t="s">
        <v>54</v>
      </c>
      <c r="AH5" s="6" t="s">
        <v>55</v>
      </c>
      <c r="AI5" s="7" t="s">
        <v>56</v>
      </c>
      <c r="AJ5" s="6" t="s">
        <v>57</v>
      </c>
      <c r="AK5" s="7" t="s">
        <v>58</v>
      </c>
      <c r="AL5" s="8"/>
      <c r="AM5" s="8"/>
      <c r="AN5" s="8"/>
    </row>
    <row r="6" spans="1:40" ht="15" customHeight="1" x14ac:dyDescent="0.25">
      <c r="A6" s="9">
        <v>1</v>
      </c>
      <c r="B6" s="10" t="s">
        <v>59</v>
      </c>
      <c r="C6" s="10" t="s">
        <v>60</v>
      </c>
      <c r="D6" s="11" t="s">
        <v>61</v>
      </c>
      <c r="E6" s="11"/>
      <c r="F6" s="19" t="s">
        <v>145</v>
      </c>
      <c r="G6" s="19" t="s">
        <v>145</v>
      </c>
      <c r="H6" s="19" t="s">
        <v>145</v>
      </c>
      <c r="I6" s="19" t="s">
        <v>145</v>
      </c>
      <c r="J6" s="19" t="s">
        <v>145</v>
      </c>
      <c r="K6" s="19" t="s">
        <v>145</v>
      </c>
      <c r="L6" s="19" t="s">
        <v>145</v>
      </c>
      <c r="M6" s="19" t="s">
        <v>145</v>
      </c>
      <c r="N6" s="19" t="s">
        <v>145</v>
      </c>
      <c r="O6" s="19" t="s">
        <v>145</v>
      </c>
      <c r="P6" s="19" t="s">
        <v>145</v>
      </c>
      <c r="Q6" s="19" t="s">
        <v>145</v>
      </c>
      <c r="R6" s="19" t="s">
        <v>145</v>
      </c>
      <c r="S6" s="19" t="s">
        <v>145</v>
      </c>
      <c r="T6" s="19" t="s">
        <v>145</v>
      </c>
      <c r="U6" s="19" t="s">
        <v>145</v>
      </c>
      <c r="V6" s="19" t="s">
        <v>146</v>
      </c>
      <c r="W6" s="12" t="s">
        <v>145</v>
      </c>
      <c r="X6" s="12" t="s">
        <v>145</v>
      </c>
      <c r="Y6" s="12" t="s">
        <v>145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>
        <f t="shared" ref="AL6:AL32" si="0">COUNTIF(F6,"A")+COUNTIF(G6,"A")+COUNTIF(H6,"A")+COUNTIF(I6,"A")+COUNTIF(J6,"A")+COUNTIF(K6,"A")+COUNTIF(L6,"A")+COUNTIF(M6,"A")+COUNTIF(N6,"A")+COUNTIF(O6,"A")+COUNTIF(P6,"A")+COUNTIF(Q6,"A")+COUNTIF(R6,"A")+COUNTIF(S6,"A")+COUNTIF(T6,"A")+COUNTIF(U6,"A")+COUNTIF(V6,"A")+COUNTIF(W6,"A")+COUNTIF(X6,"A")+COUNTIF(Y6,"A")+COUNTIF(Z6,"A")+COUNTIF(AA6,"A")+COUNTIF(AB6,"A")+COUNTIF(AC6,"A")+COUNTIF(AD6,"A")+COUNTIF(AE6,"A")+COUNTIF(AF6,"A")+COUNTIF(AG6,"A")+COUNTIF(AH6,"A")+COUNTIF(AI6,"A")+COUNTIF(AJ6,"A")+COUNTIF(AK6,"A")</f>
        <v>19</v>
      </c>
      <c r="AM6" s="14">
        <f t="shared" ref="AM6:AM32" si="1">COUNTIF(F6,"F")+COUNTIF(G6,"F")+COUNTIF(H6,"F")+COUNTIF(I6,"F")+COUNTIF(J6,"F")+COUNTIF(K6,"F")+COUNTIF(L6,"F")+COUNTIF(M6,"F")+COUNTIF(N6,"F")+COUNTIF(O6,"F")+COUNTIF(P6,"F")+COUNTIF(Q6,"F")+COUNTIF(R6,"F")+COUNTIF(S6,"F")+COUNTIF(T6,"F")+COUNTIF(U6,"F")+COUNTIF(V6,"F")+COUNTIF(W6,"F")+COUNTIF(X6,"F")+COUNTIF(Y6,"F")+COUNTIF(Z6,"F")+COUNTIF(AA6,"F")+COUNTIF(AB6,"F")+COUNTIF(AC6,"F")+COUNTIF(AD6,"F")+COUNTIF(AE6,"F")+COUNTIF(AF6,"F")+COUNTIF(AG6,"F")+COUNTIF(AH6,"F")+COUNTIF(AI6,"F")+COUNTIF(AJ6,"F")+COUNTIF(AK6,"F")</f>
        <v>0</v>
      </c>
      <c r="AN6" s="15">
        <f t="shared" ref="AN6:AN32" si="2">IF(AL6=0,"",AL6/32)</f>
        <v>0.59375</v>
      </c>
    </row>
    <row r="7" spans="1:40" ht="15" customHeight="1" x14ac:dyDescent="0.25">
      <c r="A7" s="16">
        <v>2</v>
      </c>
      <c r="B7" s="17" t="s">
        <v>62</v>
      </c>
      <c r="C7" s="17" t="s">
        <v>63</v>
      </c>
      <c r="D7" s="18" t="s">
        <v>64</v>
      </c>
      <c r="E7" s="18"/>
      <c r="F7" s="19" t="s">
        <v>145</v>
      </c>
      <c r="G7" s="19" t="s">
        <v>145</v>
      </c>
      <c r="H7" s="19" t="s">
        <v>145</v>
      </c>
      <c r="I7" s="19" t="s">
        <v>145</v>
      </c>
      <c r="J7" s="19" t="s">
        <v>145</v>
      </c>
      <c r="K7" s="19" t="s">
        <v>145</v>
      </c>
      <c r="L7" s="19" t="s">
        <v>145</v>
      </c>
      <c r="M7" s="19" t="s">
        <v>145</v>
      </c>
      <c r="N7" s="19" t="s">
        <v>145</v>
      </c>
      <c r="O7" s="19" t="s">
        <v>145</v>
      </c>
      <c r="P7" s="19" t="s">
        <v>145</v>
      </c>
      <c r="Q7" s="19" t="s">
        <v>145</v>
      </c>
      <c r="R7" s="19" t="s">
        <v>145</v>
      </c>
      <c r="S7" s="19" t="s">
        <v>145</v>
      </c>
      <c r="T7" s="19" t="s">
        <v>145</v>
      </c>
      <c r="U7" s="19" t="s">
        <v>145</v>
      </c>
      <c r="V7" s="19" t="s">
        <v>146</v>
      </c>
      <c r="W7" s="19" t="s">
        <v>145</v>
      </c>
      <c r="X7" s="12" t="s">
        <v>145</v>
      </c>
      <c r="Y7" s="19" t="s">
        <v>145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3">
        <f t="shared" si="0"/>
        <v>19</v>
      </c>
      <c r="AM7" s="14">
        <f t="shared" si="1"/>
        <v>0</v>
      </c>
      <c r="AN7" s="15">
        <f t="shared" si="2"/>
        <v>0.59375</v>
      </c>
    </row>
    <row r="8" spans="1:40" ht="15" customHeight="1" x14ac:dyDescent="0.25">
      <c r="A8" s="9">
        <v>3</v>
      </c>
      <c r="B8" s="10" t="s">
        <v>65</v>
      </c>
      <c r="C8" s="10" t="s">
        <v>66</v>
      </c>
      <c r="D8" s="11" t="s">
        <v>67</v>
      </c>
      <c r="E8" s="11"/>
      <c r="F8" s="19" t="s">
        <v>145</v>
      </c>
      <c r="G8" s="19" t="s">
        <v>145</v>
      </c>
      <c r="H8" s="19" t="s">
        <v>145</v>
      </c>
      <c r="I8" s="19" t="s">
        <v>145</v>
      </c>
      <c r="J8" s="19" t="s">
        <v>145</v>
      </c>
      <c r="K8" s="19" t="s">
        <v>145</v>
      </c>
      <c r="L8" s="19" t="s">
        <v>145</v>
      </c>
      <c r="M8" s="19" t="s">
        <v>145</v>
      </c>
      <c r="N8" s="19" t="s">
        <v>145</v>
      </c>
      <c r="O8" s="19" t="s">
        <v>145</v>
      </c>
      <c r="P8" s="19" t="s">
        <v>145</v>
      </c>
      <c r="Q8" s="19" t="s">
        <v>145</v>
      </c>
      <c r="R8" s="19" t="s">
        <v>145</v>
      </c>
      <c r="S8" s="19" t="s">
        <v>145</v>
      </c>
      <c r="T8" s="19" t="s">
        <v>145</v>
      </c>
      <c r="U8" s="19" t="s">
        <v>145</v>
      </c>
      <c r="V8" s="19" t="s">
        <v>146</v>
      </c>
      <c r="W8" s="12" t="s">
        <v>145</v>
      </c>
      <c r="X8" s="12" t="s">
        <v>145</v>
      </c>
      <c r="Y8" s="12" t="s">
        <v>145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3">
        <f t="shared" si="0"/>
        <v>19</v>
      </c>
      <c r="AM8" s="14">
        <f t="shared" si="1"/>
        <v>0</v>
      </c>
      <c r="AN8" s="15">
        <f t="shared" si="2"/>
        <v>0.59375</v>
      </c>
    </row>
    <row r="9" spans="1:40" ht="15" customHeight="1" x14ac:dyDescent="0.25">
      <c r="A9" s="16">
        <v>4</v>
      </c>
      <c r="B9" s="17" t="s">
        <v>68</v>
      </c>
      <c r="C9" s="17" t="s">
        <v>69</v>
      </c>
      <c r="D9" s="18" t="s">
        <v>70</v>
      </c>
      <c r="E9" s="18"/>
      <c r="F9" s="19" t="s">
        <v>145</v>
      </c>
      <c r="G9" s="19" t="s">
        <v>145</v>
      </c>
      <c r="H9" s="19" t="s">
        <v>145</v>
      </c>
      <c r="I9" s="19" t="s">
        <v>145</v>
      </c>
      <c r="J9" s="19" t="s">
        <v>145</v>
      </c>
      <c r="K9" s="19" t="s">
        <v>145</v>
      </c>
      <c r="L9" s="19" t="s">
        <v>145</v>
      </c>
      <c r="M9" s="19" t="s">
        <v>145</v>
      </c>
      <c r="N9" s="19" t="s">
        <v>145</v>
      </c>
      <c r="O9" s="19" t="s">
        <v>145</v>
      </c>
      <c r="P9" s="19" t="s">
        <v>145</v>
      </c>
      <c r="Q9" s="19" t="s">
        <v>145</v>
      </c>
      <c r="R9" s="19" t="s">
        <v>145</v>
      </c>
      <c r="S9" s="19" t="s">
        <v>145</v>
      </c>
      <c r="T9" s="19" t="s">
        <v>145</v>
      </c>
      <c r="U9" s="19" t="s">
        <v>145</v>
      </c>
      <c r="V9" s="19" t="s">
        <v>146</v>
      </c>
      <c r="W9" s="19" t="s">
        <v>145</v>
      </c>
      <c r="X9" s="12" t="s">
        <v>145</v>
      </c>
      <c r="Y9" s="19" t="s">
        <v>145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3">
        <f t="shared" si="0"/>
        <v>19</v>
      </c>
      <c r="AM9" s="14">
        <f t="shared" si="1"/>
        <v>0</v>
      </c>
      <c r="AN9" s="15">
        <f t="shared" si="2"/>
        <v>0.59375</v>
      </c>
    </row>
    <row r="10" spans="1:40" ht="15" customHeight="1" x14ac:dyDescent="0.25">
      <c r="A10" s="9">
        <v>5</v>
      </c>
      <c r="B10" s="10" t="s">
        <v>71</v>
      </c>
      <c r="C10" s="10" t="s">
        <v>72</v>
      </c>
      <c r="D10" s="11" t="s">
        <v>73</v>
      </c>
      <c r="E10" s="11"/>
      <c r="F10" s="19" t="s">
        <v>145</v>
      </c>
      <c r="G10" s="19" t="s">
        <v>145</v>
      </c>
      <c r="H10" s="19" t="s">
        <v>145</v>
      </c>
      <c r="I10" s="19" t="s">
        <v>145</v>
      </c>
      <c r="J10" s="19" t="s">
        <v>145</v>
      </c>
      <c r="K10" s="19" t="s">
        <v>145</v>
      </c>
      <c r="L10" s="19" t="s">
        <v>145</v>
      </c>
      <c r="M10" s="19" t="s">
        <v>145</v>
      </c>
      <c r="N10" s="19" t="s">
        <v>145</v>
      </c>
      <c r="O10" s="19" t="s">
        <v>145</v>
      </c>
      <c r="P10" s="19" t="s">
        <v>145</v>
      </c>
      <c r="Q10" s="19" t="s">
        <v>145</v>
      </c>
      <c r="R10" s="19" t="s">
        <v>145</v>
      </c>
      <c r="S10" s="19" t="s">
        <v>145</v>
      </c>
      <c r="T10" s="19" t="s">
        <v>145</v>
      </c>
      <c r="U10" s="19" t="s">
        <v>145</v>
      </c>
      <c r="V10" s="19" t="s">
        <v>146</v>
      </c>
      <c r="W10" s="12" t="s">
        <v>145</v>
      </c>
      <c r="X10" s="12" t="s">
        <v>145</v>
      </c>
      <c r="Y10" s="12" t="s">
        <v>145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3">
        <f t="shared" si="0"/>
        <v>19</v>
      </c>
      <c r="AM10" s="14">
        <f t="shared" si="1"/>
        <v>0</v>
      </c>
      <c r="AN10" s="15">
        <f t="shared" si="2"/>
        <v>0.59375</v>
      </c>
    </row>
    <row r="11" spans="1:40" ht="15" customHeight="1" x14ac:dyDescent="0.25">
      <c r="A11" s="16">
        <v>6</v>
      </c>
      <c r="B11" s="17" t="s">
        <v>74</v>
      </c>
      <c r="C11" s="17" t="s">
        <v>75</v>
      </c>
      <c r="D11" s="18" t="s">
        <v>76</v>
      </c>
      <c r="E11" s="18"/>
      <c r="F11" s="19" t="s">
        <v>145</v>
      </c>
      <c r="G11" s="19" t="s">
        <v>145</v>
      </c>
      <c r="H11" s="19" t="s">
        <v>145</v>
      </c>
      <c r="I11" s="19" t="s">
        <v>145</v>
      </c>
      <c r="J11" s="19" t="s">
        <v>145</v>
      </c>
      <c r="K11" s="19" t="s">
        <v>145</v>
      </c>
      <c r="L11" s="19" t="s">
        <v>145</v>
      </c>
      <c r="M11" s="19" t="s">
        <v>145</v>
      </c>
      <c r="N11" s="19" t="s">
        <v>145</v>
      </c>
      <c r="O11" s="19" t="s">
        <v>145</v>
      </c>
      <c r="P11" s="19" t="s">
        <v>145</v>
      </c>
      <c r="Q11" s="19" t="s">
        <v>145</v>
      </c>
      <c r="R11" s="19" t="s">
        <v>145</v>
      </c>
      <c r="S11" s="19" t="s">
        <v>145</v>
      </c>
      <c r="T11" s="19" t="s">
        <v>145</v>
      </c>
      <c r="U11" s="19" t="s">
        <v>145</v>
      </c>
      <c r="V11" s="19" t="s">
        <v>146</v>
      </c>
      <c r="W11" s="19" t="s">
        <v>145</v>
      </c>
      <c r="X11" s="12" t="s">
        <v>145</v>
      </c>
      <c r="Y11" s="19" t="s">
        <v>145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3">
        <f t="shared" si="0"/>
        <v>19</v>
      </c>
      <c r="AM11" s="14">
        <f t="shared" si="1"/>
        <v>0</v>
      </c>
      <c r="AN11" s="15">
        <f t="shared" si="2"/>
        <v>0.59375</v>
      </c>
    </row>
    <row r="12" spans="1:40" ht="15" customHeight="1" x14ac:dyDescent="0.25">
      <c r="A12" s="9">
        <v>7</v>
      </c>
      <c r="B12" s="10" t="s">
        <v>77</v>
      </c>
      <c r="C12" s="10" t="s">
        <v>78</v>
      </c>
      <c r="D12" s="11" t="s">
        <v>79</v>
      </c>
      <c r="E12" s="11">
        <v>1</v>
      </c>
      <c r="F12" s="19" t="s">
        <v>145</v>
      </c>
      <c r="G12" s="19" t="s">
        <v>145</v>
      </c>
      <c r="H12" s="19" t="s">
        <v>145</v>
      </c>
      <c r="I12" s="19" t="s">
        <v>145</v>
      </c>
      <c r="J12" s="19" t="s">
        <v>145</v>
      </c>
      <c r="K12" s="19" t="s">
        <v>145</v>
      </c>
      <c r="L12" s="19" t="s">
        <v>145</v>
      </c>
      <c r="M12" s="19" t="s">
        <v>145</v>
      </c>
      <c r="N12" s="19" t="s">
        <v>145</v>
      </c>
      <c r="O12" s="19" t="s">
        <v>145</v>
      </c>
      <c r="P12" s="19" t="s">
        <v>145</v>
      </c>
      <c r="Q12" s="19" t="s">
        <v>145</v>
      </c>
      <c r="R12" s="19" t="s">
        <v>145</v>
      </c>
      <c r="S12" s="19" t="s">
        <v>145</v>
      </c>
      <c r="T12" s="19" t="s">
        <v>145</v>
      </c>
      <c r="U12" s="19" t="s">
        <v>145</v>
      </c>
      <c r="V12" s="19" t="s">
        <v>146</v>
      </c>
      <c r="W12" s="12" t="s">
        <v>145</v>
      </c>
      <c r="X12" s="12" t="s">
        <v>145</v>
      </c>
      <c r="Y12" s="12" t="s">
        <v>145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3">
        <f t="shared" si="0"/>
        <v>19</v>
      </c>
      <c r="AM12" s="14">
        <f t="shared" si="1"/>
        <v>0</v>
      </c>
      <c r="AN12" s="15">
        <f t="shared" si="2"/>
        <v>0.59375</v>
      </c>
    </row>
    <row r="13" spans="1:40" ht="15" customHeight="1" x14ac:dyDescent="0.25">
      <c r="A13" s="16">
        <v>8</v>
      </c>
      <c r="B13" s="17" t="s">
        <v>80</v>
      </c>
      <c r="C13" s="17" t="s">
        <v>81</v>
      </c>
      <c r="D13" s="18" t="s">
        <v>82</v>
      </c>
      <c r="E13" s="18"/>
      <c r="F13" s="19" t="s">
        <v>145</v>
      </c>
      <c r="G13" s="19" t="s">
        <v>145</v>
      </c>
      <c r="H13" s="19" t="s">
        <v>145</v>
      </c>
      <c r="I13" s="19" t="s">
        <v>145</v>
      </c>
      <c r="J13" s="19" t="s">
        <v>145</v>
      </c>
      <c r="K13" s="19" t="s">
        <v>145</v>
      </c>
      <c r="L13" s="19" t="s">
        <v>145</v>
      </c>
      <c r="M13" s="19" t="s">
        <v>145</v>
      </c>
      <c r="N13" s="19" t="s">
        <v>145</v>
      </c>
      <c r="O13" s="19" t="s">
        <v>145</v>
      </c>
      <c r="P13" s="19" t="s">
        <v>145</v>
      </c>
      <c r="Q13" s="19" t="s">
        <v>145</v>
      </c>
      <c r="R13" s="19" t="s">
        <v>145</v>
      </c>
      <c r="S13" s="19" t="s">
        <v>145</v>
      </c>
      <c r="T13" s="19" t="s">
        <v>145</v>
      </c>
      <c r="U13" s="19" t="s">
        <v>145</v>
      </c>
      <c r="V13" s="19" t="s">
        <v>146</v>
      </c>
      <c r="W13" s="19" t="s">
        <v>145</v>
      </c>
      <c r="X13" s="12" t="s">
        <v>145</v>
      </c>
      <c r="Y13" s="19" t="s">
        <v>145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3">
        <f t="shared" si="0"/>
        <v>19</v>
      </c>
      <c r="AM13" s="14">
        <f t="shared" si="1"/>
        <v>0</v>
      </c>
      <c r="AN13" s="15">
        <f t="shared" si="2"/>
        <v>0.59375</v>
      </c>
    </row>
    <row r="14" spans="1:40" ht="15" customHeight="1" x14ac:dyDescent="0.25">
      <c r="A14" s="9">
        <v>9</v>
      </c>
      <c r="B14" s="10" t="s">
        <v>83</v>
      </c>
      <c r="C14" s="10" t="s">
        <v>84</v>
      </c>
      <c r="D14" s="11" t="s">
        <v>85</v>
      </c>
      <c r="E14" s="11"/>
      <c r="F14" s="19" t="s">
        <v>145</v>
      </c>
      <c r="G14" s="19" t="s">
        <v>145</v>
      </c>
      <c r="H14" s="19" t="s">
        <v>145</v>
      </c>
      <c r="I14" s="19" t="s">
        <v>145</v>
      </c>
      <c r="J14" s="19" t="s">
        <v>145</v>
      </c>
      <c r="K14" s="19" t="s">
        <v>145</v>
      </c>
      <c r="L14" s="19" t="s">
        <v>145</v>
      </c>
      <c r="M14" s="19" t="s">
        <v>145</v>
      </c>
      <c r="N14" s="19" t="s">
        <v>145</v>
      </c>
      <c r="O14" s="19" t="s">
        <v>145</v>
      </c>
      <c r="P14" s="19" t="s">
        <v>145</v>
      </c>
      <c r="Q14" s="19" t="s">
        <v>145</v>
      </c>
      <c r="R14" s="19" t="s">
        <v>145</v>
      </c>
      <c r="S14" s="19" t="s">
        <v>145</v>
      </c>
      <c r="T14" s="19" t="s">
        <v>145</v>
      </c>
      <c r="U14" s="19" t="s">
        <v>145</v>
      </c>
      <c r="V14" s="19" t="s">
        <v>146</v>
      </c>
      <c r="W14" s="12" t="s">
        <v>145</v>
      </c>
      <c r="X14" s="12" t="s">
        <v>145</v>
      </c>
      <c r="Y14" s="12" t="s">
        <v>145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3">
        <f t="shared" si="0"/>
        <v>19</v>
      </c>
      <c r="AM14" s="14">
        <f t="shared" si="1"/>
        <v>0</v>
      </c>
      <c r="AN14" s="15">
        <f t="shared" si="2"/>
        <v>0.59375</v>
      </c>
    </row>
    <row r="15" spans="1:40" ht="15" customHeight="1" x14ac:dyDescent="0.25">
      <c r="A15" s="16">
        <v>10</v>
      </c>
      <c r="B15" s="17" t="s">
        <v>86</v>
      </c>
      <c r="C15" s="17" t="s">
        <v>87</v>
      </c>
      <c r="D15" s="18" t="s">
        <v>88</v>
      </c>
      <c r="E15" s="18">
        <v>1</v>
      </c>
      <c r="F15" s="19" t="s">
        <v>145</v>
      </c>
      <c r="G15" s="19" t="s">
        <v>145</v>
      </c>
      <c r="H15" s="19" t="s">
        <v>145</v>
      </c>
      <c r="I15" s="19" t="s">
        <v>145</v>
      </c>
      <c r="J15" s="19" t="s">
        <v>145</v>
      </c>
      <c r="K15" s="19" t="s">
        <v>145</v>
      </c>
      <c r="L15" s="19" t="s">
        <v>145</v>
      </c>
      <c r="M15" s="19" t="s">
        <v>145</v>
      </c>
      <c r="N15" s="19" t="s">
        <v>145</v>
      </c>
      <c r="O15" s="19" t="s">
        <v>145</v>
      </c>
      <c r="P15" s="19" t="s">
        <v>145</v>
      </c>
      <c r="Q15" s="19" t="s">
        <v>145</v>
      </c>
      <c r="R15" s="19" t="s">
        <v>145</v>
      </c>
      <c r="S15" s="19" t="s">
        <v>145</v>
      </c>
      <c r="T15" s="19" t="s">
        <v>145</v>
      </c>
      <c r="U15" s="19" t="s">
        <v>145</v>
      </c>
      <c r="V15" s="19" t="s">
        <v>146</v>
      </c>
      <c r="W15" s="19" t="s">
        <v>145</v>
      </c>
      <c r="X15" s="12" t="s">
        <v>145</v>
      </c>
      <c r="Y15" s="19" t="s">
        <v>145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3">
        <f t="shared" si="0"/>
        <v>19</v>
      </c>
      <c r="AM15" s="14">
        <f t="shared" si="1"/>
        <v>0</v>
      </c>
      <c r="AN15" s="15">
        <f t="shared" si="2"/>
        <v>0.59375</v>
      </c>
    </row>
    <row r="16" spans="1:40" ht="15" customHeight="1" x14ac:dyDescent="0.25">
      <c r="A16" s="9">
        <v>11</v>
      </c>
      <c r="B16" s="10" t="s">
        <v>89</v>
      </c>
      <c r="C16" s="10" t="s">
        <v>90</v>
      </c>
      <c r="D16" s="11" t="s">
        <v>91</v>
      </c>
      <c r="E16" s="11"/>
      <c r="F16" s="19" t="s">
        <v>145</v>
      </c>
      <c r="G16" s="19" t="s">
        <v>145</v>
      </c>
      <c r="H16" s="19" t="s">
        <v>145</v>
      </c>
      <c r="I16" s="19" t="s">
        <v>145</v>
      </c>
      <c r="J16" s="19" t="s">
        <v>145</v>
      </c>
      <c r="K16" s="19" t="s">
        <v>145</v>
      </c>
      <c r="L16" s="19" t="s">
        <v>145</v>
      </c>
      <c r="M16" s="19" t="s">
        <v>145</v>
      </c>
      <c r="N16" s="19" t="s">
        <v>145</v>
      </c>
      <c r="O16" s="19" t="s">
        <v>145</v>
      </c>
      <c r="P16" s="19" t="s">
        <v>145</v>
      </c>
      <c r="Q16" s="19" t="s">
        <v>145</v>
      </c>
      <c r="R16" s="19" t="s">
        <v>145</v>
      </c>
      <c r="S16" s="19" t="s">
        <v>145</v>
      </c>
      <c r="T16" s="19" t="s">
        <v>145</v>
      </c>
      <c r="U16" s="19" t="s">
        <v>145</v>
      </c>
      <c r="V16" s="19" t="s">
        <v>146</v>
      </c>
      <c r="W16" s="12" t="s">
        <v>145</v>
      </c>
      <c r="X16" s="12" t="s">
        <v>145</v>
      </c>
      <c r="Y16" s="12" t="s">
        <v>145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3">
        <f t="shared" si="0"/>
        <v>19</v>
      </c>
      <c r="AM16" s="14">
        <f t="shared" si="1"/>
        <v>0</v>
      </c>
      <c r="AN16" s="15">
        <f t="shared" si="2"/>
        <v>0.59375</v>
      </c>
    </row>
    <row r="17" spans="1:40" ht="15" customHeight="1" x14ac:dyDescent="0.25">
      <c r="A17" s="16">
        <v>12</v>
      </c>
      <c r="B17" s="17" t="s">
        <v>92</v>
      </c>
      <c r="C17" s="17" t="s">
        <v>93</v>
      </c>
      <c r="D17" s="18" t="s">
        <v>94</v>
      </c>
      <c r="E17" s="18"/>
      <c r="F17" s="19" t="s">
        <v>145</v>
      </c>
      <c r="G17" s="19" t="s">
        <v>145</v>
      </c>
      <c r="H17" s="19" t="s">
        <v>145</v>
      </c>
      <c r="I17" s="19" t="s">
        <v>145</v>
      </c>
      <c r="J17" s="19" t="s">
        <v>145</v>
      </c>
      <c r="K17" s="19" t="s">
        <v>145</v>
      </c>
      <c r="L17" s="19" t="s">
        <v>145</v>
      </c>
      <c r="M17" s="19" t="s">
        <v>145</v>
      </c>
      <c r="N17" s="19" t="s">
        <v>145</v>
      </c>
      <c r="O17" s="19" t="s">
        <v>145</v>
      </c>
      <c r="P17" s="19" t="s">
        <v>145</v>
      </c>
      <c r="Q17" s="19" t="s">
        <v>145</v>
      </c>
      <c r="R17" s="19" t="s">
        <v>145</v>
      </c>
      <c r="S17" s="19" t="s">
        <v>145</v>
      </c>
      <c r="T17" s="19" t="s">
        <v>145</v>
      </c>
      <c r="U17" s="19" t="s">
        <v>145</v>
      </c>
      <c r="V17" s="19" t="s">
        <v>146</v>
      </c>
      <c r="W17" s="19" t="s">
        <v>147</v>
      </c>
      <c r="X17" s="12" t="s">
        <v>145</v>
      </c>
      <c r="Y17" s="19" t="s">
        <v>145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3">
        <f t="shared" si="0"/>
        <v>18</v>
      </c>
      <c r="AM17" s="14">
        <f t="shared" si="1"/>
        <v>1</v>
      </c>
      <c r="AN17" s="15">
        <f t="shared" si="2"/>
        <v>0.5625</v>
      </c>
    </row>
    <row r="18" spans="1:40" ht="15" customHeight="1" x14ac:dyDescent="0.25">
      <c r="A18" s="9">
        <v>13</v>
      </c>
      <c r="B18" s="10" t="s">
        <v>95</v>
      </c>
      <c r="C18" s="10" t="s">
        <v>96</v>
      </c>
      <c r="D18" s="11" t="s">
        <v>97</v>
      </c>
      <c r="E18" s="11"/>
      <c r="F18" s="19" t="s">
        <v>145</v>
      </c>
      <c r="G18" s="19" t="s">
        <v>145</v>
      </c>
      <c r="H18" s="19" t="s">
        <v>145</v>
      </c>
      <c r="I18" s="19" t="s">
        <v>145</v>
      </c>
      <c r="J18" s="19" t="s">
        <v>145</v>
      </c>
      <c r="K18" s="19" t="s">
        <v>145</v>
      </c>
      <c r="L18" s="19" t="s">
        <v>145</v>
      </c>
      <c r="M18" s="19" t="s">
        <v>145</v>
      </c>
      <c r="N18" s="19" t="s">
        <v>145</v>
      </c>
      <c r="O18" s="19" t="s">
        <v>145</v>
      </c>
      <c r="P18" s="19" t="s">
        <v>145</v>
      </c>
      <c r="Q18" s="19" t="s">
        <v>145</v>
      </c>
      <c r="R18" s="19" t="s">
        <v>145</v>
      </c>
      <c r="S18" s="19" t="s">
        <v>145</v>
      </c>
      <c r="T18" s="19" t="s">
        <v>145</v>
      </c>
      <c r="U18" s="19" t="s">
        <v>145</v>
      </c>
      <c r="V18" s="19" t="s">
        <v>146</v>
      </c>
      <c r="W18" s="12" t="s">
        <v>145</v>
      </c>
      <c r="X18" s="12" t="s">
        <v>145</v>
      </c>
      <c r="Y18" s="12" t="s">
        <v>145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3">
        <f t="shared" si="0"/>
        <v>19</v>
      </c>
      <c r="AM18" s="14">
        <f t="shared" si="1"/>
        <v>0</v>
      </c>
      <c r="AN18" s="15">
        <f t="shared" si="2"/>
        <v>0.59375</v>
      </c>
    </row>
    <row r="19" spans="1:40" ht="15" customHeight="1" x14ac:dyDescent="0.25">
      <c r="A19" s="16">
        <v>14</v>
      </c>
      <c r="B19" s="17" t="s">
        <v>98</v>
      </c>
      <c r="C19" s="17" t="s">
        <v>99</v>
      </c>
      <c r="D19" s="18" t="s">
        <v>100</v>
      </c>
      <c r="E19" s="18">
        <v>1</v>
      </c>
      <c r="F19" s="19" t="s">
        <v>145</v>
      </c>
      <c r="G19" s="19" t="s">
        <v>145</v>
      </c>
      <c r="H19" s="19" t="s">
        <v>145</v>
      </c>
      <c r="I19" s="19" t="s">
        <v>145</v>
      </c>
      <c r="J19" s="19" t="s">
        <v>145</v>
      </c>
      <c r="K19" s="19" t="s">
        <v>145</v>
      </c>
      <c r="L19" s="19" t="s">
        <v>145</v>
      </c>
      <c r="M19" s="19" t="s">
        <v>145</v>
      </c>
      <c r="N19" s="19" t="s">
        <v>145</v>
      </c>
      <c r="O19" s="19" t="s">
        <v>145</v>
      </c>
      <c r="P19" s="19" t="s">
        <v>145</v>
      </c>
      <c r="Q19" s="19" t="s">
        <v>145</v>
      </c>
      <c r="R19" s="19" t="s">
        <v>145</v>
      </c>
      <c r="S19" s="19" t="s">
        <v>145</v>
      </c>
      <c r="T19" s="19" t="s">
        <v>145</v>
      </c>
      <c r="U19" s="19" t="s">
        <v>145</v>
      </c>
      <c r="V19" s="19" t="s">
        <v>146</v>
      </c>
      <c r="W19" s="19" t="s">
        <v>145</v>
      </c>
      <c r="X19" s="12" t="s">
        <v>145</v>
      </c>
      <c r="Y19" s="19" t="s">
        <v>145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3">
        <f t="shared" si="0"/>
        <v>19</v>
      </c>
      <c r="AM19" s="14">
        <f t="shared" si="1"/>
        <v>0</v>
      </c>
      <c r="AN19" s="15">
        <f t="shared" si="2"/>
        <v>0.59375</v>
      </c>
    </row>
    <row r="20" spans="1:40" ht="15" customHeight="1" x14ac:dyDescent="0.25">
      <c r="A20" s="9">
        <v>15</v>
      </c>
      <c r="B20" s="10" t="s">
        <v>101</v>
      </c>
      <c r="C20" s="10" t="s">
        <v>102</v>
      </c>
      <c r="D20" s="11" t="s">
        <v>103</v>
      </c>
      <c r="E20" s="11"/>
      <c r="F20" s="19" t="s">
        <v>145</v>
      </c>
      <c r="G20" s="19" t="s">
        <v>145</v>
      </c>
      <c r="H20" s="19" t="s">
        <v>145</v>
      </c>
      <c r="I20" s="19" t="s">
        <v>145</v>
      </c>
      <c r="J20" s="19" t="s">
        <v>145</v>
      </c>
      <c r="K20" s="19" t="s">
        <v>145</v>
      </c>
      <c r="L20" s="19" t="s">
        <v>145</v>
      </c>
      <c r="M20" s="19" t="s">
        <v>145</v>
      </c>
      <c r="N20" s="19" t="s">
        <v>145</v>
      </c>
      <c r="O20" s="19" t="s">
        <v>145</v>
      </c>
      <c r="P20" s="19" t="s">
        <v>145</v>
      </c>
      <c r="Q20" s="19" t="s">
        <v>145</v>
      </c>
      <c r="R20" s="19" t="s">
        <v>145</v>
      </c>
      <c r="S20" s="19" t="s">
        <v>145</v>
      </c>
      <c r="T20" s="19" t="s">
        <v>145</v>
      </c>
      <c r="U20" s="19" t="s">
        <v>145</v>
      </c>
      <c r="V20" s="19" t="s">
        <v>146</v>
      </c>
      <c r="W20" s="12" t="s">
        <v>145</v>
      </c>
      <c r="X20" s="12" t="s">
        <v>145</v>
      </c>
      <c r="Y20" s="12" t="s">
        <v>147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3">
        <f t="shared" si="0"/>
        <v>18</v>
      </c>
      <c r="AM20" s="14">
        <f t="shared" si="1"/>
        <v>1</v>
      </c>
      <c r="AN20" s="15">
        <f t="shared" si="2"/>
        <v>0.5625</v>
      </c>
    </row>
    <row r="21" spans="1:40" ht="15" customHeight="1" x14ac:dyDescent="0.25">
      <c r="A21" s="16">
        <v>16</v>
      </c>
      <c r="B21" s="17" t="s">
        <v>104</v>
      </c>
      <c r="C21" s="17" t="s">
        <v>105</v>
      </c>
      <c r="D21" s="18" t="s">
        <v>106</v>
      </c>
      <c r="E21" s="18"/>
      <c r="F21" s="19" t="s">
        <v>145</v>
      </c>
      <c r="G21" s="19" t="s">
        <v>145</v>
      </c>
      <c r="H21" s="19" t="s">
        <v>145</v>
      </c>
      <c r="I21" s="19" t="s">
        <v>145</v>
      </c>
      <c r="J21" s="19" t="s">
        <v>145</v>
      </c>
      <c r="K21" s="19" t="s">
        <v>145</v>
      </c>
      <c r="L21" s="19" t="s">
        <v>145</v>
      </c>
      <c r="M21" s="19" t="s">
        <v>145</v>
      </c>
      <c r="N21" s="19" t="s">
        <v>145</v>
      </c>
      <c r="O21" s="19" t="s">
        <v>145</v>
      </c>
      <c r="P21" s="19" t="s">
        <v>145</v>
      </c>
      <c r="Q21" s="19" t="s">
        <v>145</v>
      </c>
      <c r="R21" s="19" t="s">
        <v>145</v>
      </c>
      <c r="S21" s="19" t="s">
        <v>145</v>
      </c>
      <c r="T21" s="19" t="s">
        <v>145</v>
      </c>
      <c r="U21" s="19" t="s">
        <v>145</v>
      </c>
      <c r="V21" s="19" t="s">
        <v>146</v>
      </c>
      <c r="W21" s="19" t="s">
        <v>145</v>
      </c>
      <c r="X21" s="12" t="s">
        <v>145</v>
      </c>
      <c r="Y21" s="19" t="s">
        <v>147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3">
        <f t="shared" si="0"/>
        <v>18</v>
      </c>
      <c r="AM21" s="14">
        <f t="shared" si="1"/>
        <v>1</v>
      </c>
      <c r="AN21" s="15">
        <f t="shared" si="2"/>
        <v>0.5625</v>
      </c>
    </row>
    <row r="22" spans="1:40" ht="15" customHeight="1" x14ac:dyDescent="0.25">
      <c r="A22" s="9">
        <v>17</v>
      </c>
      <c r="B22" s="10" t="s">
        <v>107</v>
      </c>
      <c r="C22" s="10" t="s">
        <v>108</v>
      </c>
      <c r="D22" s="11" t="s">
        <v>109</v>
      </c>
      <c r="E22" s="11"/>
      <c r="F22" s="19" t="s">
        <v>145</v>
      </c>
      <c r="G22" s="19" t="s">
        <v>145</v>
      </c>
      <c r="H22" s="19" t="s">
        <v>145</v>
      </c>
      <c r="I22" s="19" t="s">
        <v>145</v>
      </c>
      <c r="J22" s="19" t="s">
        <v>145</v>
      </c>
      <c r="K22" s="19" t="s">
        <v>145</v>
      </c>
      <c r="L22" s="19" t="s">
        <v>145</v>
      </c>
      <c r="M22" s="19" t="s">
        <v>145</v>
      </c>
      <c r="N22" s="19" t="s">
        <v>145</v>
      </c>
      <c r="O22" s="19" t="s">
        <v>145</v>
      </c>
      <c r="P22" s="19" t="s">
        <v>145</v>
      </c>
      <c r="Q22" s="19" t="s">
        <v>145</v>
      </c>
      <c r="R22" s="19" t="s">
        <v>145</v>
      </c>
      <c r="S22" s="19" t="s">
        <v>145</v>
      </c>
      <c r="T22" s="19" t="s">
        <v>145</v>
      </c>
      <c r="U22" s="19" t="s">
        <v>145</v>
      </c>
      <c r="V22" s="19" t="s">
        <v>146</v>
      </c>
      <c r="W22" s="12" t="s">
        <v>145</v>
      </c>
      <c r="X22" s="12" t="s">
        <v>145</v>
      </c>
      <c r="Y22" s="12" t="s">
        <v>145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3">
        <f t="shared" si="0"/>
        <v>19</v>
      </c>
      <c r="AM22" s="14">
        <f t="shared" si="1"/>
        <v>0</v>
      </c>
      <c r="AN22" s="15">
        <f t="shared" si="2"/>
        <v>0.59375</v>
      </c>
    </row>
    <row r="23" spans="1:40" ht="15" customHeight="1" x14ac:dyDescent="0.25">
      <c r="A23" s="16">
        <v>18</v>
      </c>
      <c r="B23" s="17" t="s">
        <v>110</v>
      </c>
      <c r="C23" s="17" t="s">
        <v>111</v>
      </c>
      <c r="D23" s="18" t="s">
        <v>112</v>
      </c>
      <c r="E23" s="18"/>
      <c r="F23" s="19" t="s">
        <v>145</v>
      </c>
      <c r="G23" s="19" t="s">
        <v>145</v>
      </c>
      <c r="H23" s="19" t="s">
        <v>145</v>
      </c>
      <c r="I23" s="19" t="s">
        <v>145</v>
      </c>
      <c r="J23" s="19" t="s">
        <v>145</v>
      </c>
      <c r="K23" s="19" t="s">
        <v>145</v>
      </c>
      <c r="L23" s="19" t="s">
        <v>145</v>
      </c>
      <c r="M23" s="19" t="s">
        <v>145</v>
      </c>
      <c r="N23" s="19" t="s">
        <v>145</v>
      </c>
      <c r="O23" s="19" t="s">
        <v>145</v>
      </c>
      <c r="P23" s="19" t="s">
        <v>145</v>
      </c>
      <c r="Q23" s="19" t="s">
        <v>145</v>
      </c>
      <c r="R23" s="19" t="s">
        <v>145</v>
      </c>
      <c r="S23" s="19" t="s">
        <v>145</v>
      </c>
      <c r="T23" s="19" t="s">
        <v>145</v>
      </c>
      <c r="U23" s="19" t="s">
        <v>145</v>
      </c>
      <c r="V23" s="19" t="s">
        <v>146</v>
      </c>
      <c r="W23" s="19" t="s">
        <v>145</v>
      </c>
      <c r="X23" s="12" t="s">
        <v>145</v>
      </c>
      <c r="Y23" s="19" t="s">
        <v>145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3">
        <f t="shared" si="0"/>
        <v>19</v>
      </c>
      <c r="AM23" s="14">
        <f t="shared" si="1"/>
        <v>0</v>
      </c>
      <c r="AN23" s="15">
        <f t="shared" si="2"/>
        <v>0.59375</v>
      </c>
    </row>
    <row r="24" spans="1:40" ht="15" customHeight="1" x14ac:dyDescent="0.25">
      <c r="A24" s="9">
        <v>19</v>
      </c>
      <c r="B24" s="10" t="s">
        <v>113</v>
      </c>
      <c r="C24" s="10" t="s">
        <v>114</v>
      </c>
      <c r="D24" s="11" t="s">
        <v>115</v>
      </c>
      <c r="E24" s="11"/>
      <c r="F24" s="19" t="s">
        <v>145</v>
      </c>
      <c r="G24" s="19" t="s">
        <v>145</v>
      </c>
      <c r="H24" s="19" t="s">
        <v>145</v>
      </c>
      <c r="I24" s="19" t="s">
        <v>145</v>
      </c>
      <c r="J24" s="19" t="s">
        <v>145</v>
      </c>
      <c r="K24" s="19" t="s">
        <v>145</v>
      </c>
      <c r="L24" s="19" t="s">
        <v>145</v>
      </c>
      <c r="M24" s="19" t="s">
        <v>145</v>
      </c>
      <c r="N24" s="19" t="s">
        <v>145</v>
      </c>
      <c r="O24" s="19" t="s">
        <v>145</v>
      </c>
      <c r="P24" s="19" t="s">
        <v>145</v>
      </c>
      <c r="Q24" s="19" t="s">
        <v>145</v>
      </c>
      <c r="R24" s="19" t="s">
        <v>145</v>
      </c>
      <c r="S24" s="19" t="s">
        <v>145</v>
      </c>
      <c r="T24" s="19" t="s">
        <v>145</v>
      </c>
      <c r="U24" s="19" t="s">
        <v>145</v>
      </c>
      <c r="V24" s="19" t="s">
        <v>146</v>
      </c>
      <c r="W24" s="12" t="s">
        <v>145</v>
      </c>
      <c r="X24" s="12" t="s">
        <v>145</v>
      </c>
      <c r="Y24" s="12" t="s">
        <v>145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3">
        <f t="shared" si="0"/>
        <v>19</v>
      </c>
      <c r="AM24" s="14">
        <f t="shared" si="1"/>
        <v>0</v>
      </c>
      <c r="AN24" s="15">
        <f t="shared" si="2"/>
        <v>0.59375</v>
      </c>
    </row>
    <row r="25" spans="1:40" ht="15" customHeight="1" x14ac:dyDescent="0.25">
      <c r="A25" s="16">
        <v>20</v>
      </c>
      <c r="B25" s="17" t="s">
        <v>116</v>
      </c>
      <c r="C25" s="17" t="s">
        <v>117</v>
      </c>
      <c r="D25" s="18" t="s">
        <v>118</v>
      </c>
      <c r="E25" s="18"/>
      <c r="F25" s="19" t="s">
        <v>145</v>
      </c>
      <c r="G25" s="19" t="s">
        <v>145</v>
      </c>
      <c r="H25" s="19" t="s">
        <v>145</v>
      </c>
      <c r="I25" s="19" t="s">
        <v>145</v>
      </c>
      <c r="J25" s="19" t="s">
        <v>145</v>
      </c>
      <c r="K25" s="19" t="s">
        <v>145</v>
      </c>
      <c r="L25" s="19" t="s">
        <v>145</v>
      </c>
      <c r="M25" s="19" t="s">
        <v>145</v>
      </c>
      <c r="N25" s="19" t="s">
        <v>145</v>
      </c>
      <c r="O25" s="19" t="s">
        <v>145</v>
      </c>
      <c r="P25" s="19" t="s">
        <v>145</v>
      </c>
      <c r="Q25" s="19" t="s">
        <v>145</v>
      </c>
      <c r="R25" s="19" t="s">
        <v>145</v>
      </c>
      <c r="S25" s="19" t="s">
        <v>145</v>
      </c>
      <c r="T25" s="19" t="s">
        <v>145</v>
      </c>
      <c r="U25" s="19" t="s">
        <v>145</v>
      </c>
      <c r="V25" s="19" t="s">
        <v>146</v>
      </c>
      <c r="W25" s="19" t="s">
        <v>145</v>
      </c>
      <c r="X25" s="12" t="s">
        <v>145</v>
      </c>
      <c r="Y25" s="19" t="s">
        <v>145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3">
        <f t="shared" si="0"/>
        <v>19</v>
      </c>
      <c r="AM25" s="14">
        <f t="shared" si="1"/>
        <v>0</v>
      </c>
      <c r="AN25" s="15">
        <f t="shared" si="2"/>
        <v>0.59375</v>
      </c>
    </row>
    <row r="26" spans="1:40" ht="15" customHeight="1" x14ac:dyDescent="0.25">
      <c r="A26" s="9">
        <v>21</v>
      </c>
      <c r="B26" s="10" t="s">
        <v>119</v>
      </c>
      <c r="C26" s="10" t="s">
        <v>120</v>
      </c>
      <c r="D26" s="11" t="s">
        <v>121</v>
      </c>
      <c r="E26" s="11"/>
      <c r="F26" s="19" t="s">
        <v>145</v>
      </c>
      <c r="G26" s="19" t="s">
        <v>145</v>
      </c>
      <c r="H26" s="19" t="s">
        <v>145</v>
      </c>
      <c r="I26" s="19" t="s">
        <v>145</v>
      </c>
      <c r="J26" s="19" t="s">
        <v>145</v>
      </c>
      <c r="K26" s="19" t="s">
        <v>145</v>
      </c>
      <c r="L26" s="19" t="s">
        <v>145</v>
      </c>
      <c r="M26" s="19" t="s">
        <v>145</v>
      </c>
      <c r="N26" s="19" t="s">
        <v>145</v>
      </c>
      <c r="O26" s="19" t="s">
        <v>145</v>
      </c>
      <c r="P26" s="19" t="s">
        <v>145</v>
      </c>
      <c r="Q26" s="19" t="s">
        <v>145</v>
      </c>
      <c r="R26" s="19" t="s">
        <v>145</v>
      </c>
      <c r="S26" s="19" t="s">
        <v>145</v>
      </c>
      <c r="T26" s="19" t="s">
        <v>145</v>
      </c>
      <c r="U26" s="19" t="s">
        <v>145</v>
      </c>
      <c r="V26" s="19" t="s">
        <v>146</v>
      </c>
      <c r="W26" s="12" t="s">
        <v>145</v>
      </c>
      <c r="X26" s="12" t="s">
        <v>145</v>
      </c>
      <c r="Y26" s="12" t="s">
        <v>145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3">
        <f t="shared" si="0"/>
        <v>19</v>
      </c>
      <c r="AM26" s="14">
        <f t="shared" si="1"/>
        <v>0</v>
      </c>
      <c r="AN26" s="15">
        <f t="shared" si="2"/>
        <v>0.59375</v>
      </c>
    </row>
    <row r="27" spans="1:40" ht="15" customHeight="1" x14ac:dyDescent="0.25">
      <c r="A27" s="16">
        <v>22</v>
      </c>
      <c r="B27" s="17" t="s">
        <v>122</v>
      </c>
      <c r="C27" s="17" t="s">
        <v>123</v>
      </c>
      <c r="D27" s="18" t="s">
        <v>124</v>
      </c>
      <c r="E27" s="18"/>
      <c r="F27" s="19" t="s">
        <v>145</v>
      </c>
      <c r="G27" s="19" t="s">
        <v>145</v>
      </c>
      <c r="H27" s="19" t="s">
        <v>145</v>
      </c>
      <c r="I27" s="19" t="s">
        <v>145</v>
      </c>
      <c r="J27" s="19" t="s">
        <v>145</v>
      </c>
      <c r="K27" s="19" t="s">
        <v>145</v>
      </c>
      <c r="L27" s="19" t="s">
        <v>145</v>
      </c>
      <c r="M27" s="19" t="s">
        <v>145</v>
      </c>
      <c r="N27" s="19" t="s">
        <v>145</v>
      </c>
      <c r="O27" s="19" t="s">
        <v>145</v>
      </c>
      <c r="P27" s="19" t="s">
        <v>145</v>
      </c>
      <c r="Q27" s="19" t="s">
        <v>145</v>
      </c>
      <c r="R27" s="19" t="s">
        <v>145</v>
      </c>
      <c r="S27" s="19" t="s">
        <v>145</v>
      </c>
      <c r="T27" s="19" t="s">
        <v>145</v>
      </c>
      <c r="U27" s="19" t="s">
        <v>145</v>
      </c>
      <c r="V27" s="19" t="s">
        <v>146</v>
      </c>
      <c r="W27" s="19" t="s">
        <v>145</v>
      </c>
      <c r="X27" s="12" t="s">
        <v>145</v>
      </c>
      <c r="Y27" s="19" t="s">
        <v>145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3">
        <f t="shared" si="0"/>
        <v>19</v>
      </c>
      <c r="AM27" s="14">
        <f t="shared" si="1"/>
        <v>0</v>
      </c>
      <c r="AN27" s="15">
        <f t="shared" si="2"/>
        <v>0.59375</v>
      </c>
    </row>
    <row r="28" spans="1:40" ht="15" customHeight="1" x14ac:dyDescent="0.25">
      <c r="A28" s="9">
        <v>23</v>
      </c>
      <c r="B28" s="10" t="s">
        <v>125</v>
      </c>
      <c r="C28" s="10" t="s">
        <v>126</v>
      </c>
      <c r="D28" s="11" t="s">
        <v>127</v>
      </c>
      <c r="E28" s="11"/>
      <c r="F28" s="19" t="s">
        <v>145</v>
      </c>
      <c r="G28" s="19" t="s">
        <v>145</v>
      </c>
      <c r="H28" s="19" t="s">
        <v>145</v>
      </c>
      <c r="I28" s="19" t="s">
        <v>145</v>
      </c>
      <c r="J28" s="19" t="s">
        <v>145</v>
      </c>
      <c r="K28" s="19" t="s">
        <v>145</v>
      </c>
      <c r="L28" s="19" t="s">
        <v>145</v>
      </c>
      <c r="M28" s="19" t="s">
        <v>145</v>
      </c>
      <c r="N28" s="19" t="s">
        <v>145</v>
      </c>
      <c r="O28" s="19" t="s">
        <v>145</v>
      </c>
      <c r="P28" s="19" t="s">
        <v>145</v>
      </c>
      <c r="Q28" s="19" t="s">
        <v>145</v>
      </c>
      <c r="R28" s="19" t="s">
        <v>145</v>
      </c>
      <c r="S28" s="19" t="s">
        <v>145</v>
      </c>
      <c r="T28" s="19" t="s">
        <v>145</v>
      </c>
      <c r="U28" s="19" t="s">
        <v>145</v>
      </c>
      <c r="V28" s="19" t="s">
        <v>146</v>
      </c>
      <c r="W28" s="12" t="s">
        <v>147</v>
      </c>
      <c r="X28" s="12" t="s">
        <v>145</v>
      </c>
      <c r="Y28" s="12" t="s">
        <v>147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3">
        <f t="shared" si="0"/>
        <v>17</v>
      </c>
      <c r="AM28" s="14">
        <f t="shared" si="1"/>
        <v>2</v>
      </c>
      <c r="AN28" s="15">
        <f t="shared" si="2"/>
        <v>0.53125</v>
      </c>
    </row>
    <row r="29" spans="1:40" ht="15" customHeight="1" x14ac:dyDescent="0.25">
      <c r="A29" s="16">
        <v>24</v>
      </c>
      <c r="B29" s="17" t="s">
        <v>128</v>
      </c>
      <c r="C29" s="17" t="s">
        <v>129</v>
      </c>
      <c r="D29" s="18" t="s">
        <v>130</v>
      </c>
      <c r="E29" s="18"/>
      <c r="F29" s="19" t="s">
        <v>145</v>
      </c>
      <c r="G29" s="19" t="s">
        <v>145</v>
      </c>
      <c r="H29" s="19" t="s">
        <v>145</v>
      </c>
      <c r="I29" s="19" t="s">
        <v>145</v>
      </c>
      <c r="J29" s="19" t="s">
        <v>145</v>
      </c>
      <c r="K29" s="19" t="s">
        <v>145</v>
      </c>
      <c r="L29" s="19" t="s">
        <v>145</v>
      </c>
      <c r="M29" s="19" t="s">
        <v>145</v>
      </c>
      <c r="N29" s="19" t="s">
        <v>145</v>
      </c>
      <c r="O29" s="19" t="s">
        <v>145</v>
      </c>
      <c r="P29" s="19" t="s">
        <v>145</v>
      </c>
      <c r="Q29" s="19" t="s">
        <v>145</v>
      </c>
      <c r="R29" s="19" t="s">
        <v>145</v>
      </c>
      <c r="S29" s="19" t="s">
        <v>145</v>
      </c>
      <c r="T29" s="19" t="s">
        <v>145</v>
      </c>
      <c r="U29" s="19" t="s">
        <v>145</v>
      </c>
      <c r="V29" s="19" t="s">
        <v>146</v>
      </c>
      <c r="W29" s="19" t="s">
        <v>145</v>
      </c>
      <c r="X29" s="12" t="s">
        <v>145</v>
      </c>
      <c r="Y29" s="19" t="s">
        <v>145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3">
        <f t="shared" si="0"/>
        <v>19</v>
      </c>
      <c r="AM29" s="14">
        <f t="shared" si="1"/>
        <v>0</v>
      </c>
      <c r="AN29" s="15">
        <f t="shared" si="2"/>
        <v>0.59375</v>
      </c>
    </row>
    <row r="30" spans="1:40" ht="15" customHeight="1" x14ac:dyDescent="0.25">
      <c r="A30" s="9">
        <v>25</v>
      </c>
      <c r="B30" s="10" t="s">
        <v>131</v>
      </c>
      <c r="C30" s="10" t="s">
        <v>132</v>
      </c>
      <c r="D30" s="11" t="s">
        <v>133</v>
      </c>
      <c r="E30" s="11">
        <v>1</v>
      </c>
      <c r="F30" s="19" t="s">
        <v>145</v>
      </c>
      <c r="G30" s="19" t="s">
        <v>145</v>
      </c>
      <c r="H30" s="19" t="s">
        <v>145</v>
      </c>
      <c r="I30" s="19" t="s">
        <v>145</v>
      </c>
      <c r="J30" s="19" t="s">
        <v>145</v>
      </c>
      <c r="K30" s="19" t="s">
        <v>145</v>
      </c>
      <c r="L30" s="19" t="s">
        <v>145</v>
      </c>
      <c r="M30" s="19" t="s">
        <v>145</v>
      </c>
      <c r="N30" s="19" t="s">
        <v>145</v>
      </c>
      <c r="O30" s="19" t="s">
        <v>145</v>
      </c>
      <c r="P30" s="19" t="s">
        <v>145</v>
      </c>
      <c r="Q30" s="19" t="s">
        <v>145</v>
      </c>
      <c r="R30" s="19" t="s">
        <v>145</v>
      </c>
      <c r="S30" s="19" t="s">
        <v>145</v>
      </c>
      <c r="T30" s="19" t="s">
        <v>145</v>
      </c>
      <c r="U30" s="19" t="s">
        <v>145</v>
      </c>
      <c r="V30" s="19" t="s">
        <v>146</v>
      </c>
      <c r="W30" s="12" t="s">
        <v>145</v>
      </c>
      <c r="X30" s="12" t="s">
        <v>145</v>
      </c>
      <c r="Y30" s="12" t="s">
        <v>145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3">
        <f t="shared" si="0"/>
        <v>19</v>
      </c>
      <c r="AM30" s="14">
        <f t="shared" si="1"/>
        <v>0</v>
      </c>
      <c r="AN30" s="15">
        <f t="shared" si="2"/>
        <v>0.59375</v>
      </c>
    </row>
    <row r="31" spans="1:40" ht="15" customHeight="1" x14ac:dyDescent="0.25">
      <c r="A31" s="16">
        <v>26</v>
      </c>
      <c r="B31" s="17" t="s">
        <v>134</v>
      </c>
      <c r="C31" s="17" t="s">
        <v>135</v>
      </c>
      <c r="D31" s="18" t="s">
        <v>136</v>
      </c>
      <c r="E31" s="18">
        <v>1</v>
      </c>
      <c r="F31" s="19" t="s">
        <v>145</v>
      </c>
      <c r="G31" s="19" t="s">
        <v>145</v>
      </c>
      <c r="H31" s="19" t="s">
        <v>145</v>
      </c>
      <c r="I31" s="19" t="s">
        <v>145</v>
      </c>
      <c r="J31" s="19" t="s">
        <v>145</v>
      </c>
      <c r="K31" s="19" t="s">
        <v>145</v>
      </c>
      <c r="L31" s="19" t="s">
        <v>145</v>
      </c>
      <c r="M31" s="19" t="s">
        <v>145</v>
      </c>
      <c r="N31" s="19" t="s">
        <v>145</v>
      </c>
      <c r="O31" s="19" t="s">
        <v>145</v>
      </c>
      <c r="P31" s="19" t="s">
        <v>145</v>
      </c>
      <c r="Q31" s="19" t="s">
        <v>145</v>
      </c>
      <c r="R31" s="19" t="s">
        <v>145</v>
      </c>
      <c r="S31" s="19" t="s">
        <v>145</v>
      </c>
      <c r="T31" s="19" t="s">
        <v>145</v>
      </c>
      <c r="U31" s="19" t="s">
        <v>145</v>
      </c>
      <c r="V31" s="19" t="s">
        <v>146</v>
      </c>
      <c r="W31" s="19" t="s">
        <v>145</v>
      </c>
      <c r="X31" s="12" t="s">
        <v>145</v>
      </c>
      <c r="Y31" s="19" t="s">
        <v>145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3">
        <f t="shared" si="0"/>
        <v>19</v>
      </c>
      <c r="AM31" s="14">
        <f t="shared" si="1"/>
        <v>0</v>
      </c>
      <c r="AN31" s="15">
        <f t="shared" si="2"/>
        <v>0.59375</v>
      </c>
    </row>
    <row r="32" spans="1:40" ht="15" customHeight="1" x14ac:dyDescent="0.25">
      <c r="A32" s="9">
        <v>27</v>
      </c>
      <c r="B32" s="10" t="s">
        <v>137</v>
      </c>
      <c r="C32" s="10" t="s">
        <v>138</v>
      </c>
      <c r="D32" s="11" t="s">
        <v>139</v>
      </c>
      <c r="E32" s="11">
        <v>1</v>
      </c>
      <c r="F32" s="19" t="s">
        <v>145</v>
      </c>
      <c r="G32" s="19" t="s">
        <v>145</v>
      </c>
      <c r="H32" s="19" t="s">
        <v>145</v>
      </c>
      <c r="I32" s="19" t="s">
        <v>145</v>
      </c>
      <c r="J32" s="19" t="s">
        <v>145</v>
      </c>
      <c r="K32" s="19" t="s">
        <v>145</v>
      </c>
      <c r="L32" s="19" t="s">
        <v>145</v>
      </c>
      <c r="M32" s="19" t="s">
        <v>145</v>
      </c>
      <c r="N32" s="19" t="s">
        <v>145</v>
      </c>
      <c r="O32" s="19" t="s">
        <v>145</v>
      </c>
      <c r="P32" s="19" t="s">
        <v>145</v>
      </c>
      <c r="Q32" s="19" t="s">
        <v>145</v>
      </c>
      <c r="R32" s="19" t="s">
        <v>145</v>
      </c>
      <c r="S32" s="19" t="s">
        <v>145</v>
      </c>
      <c r="T32" s="19" t="s">
        <v>145</v>
      </c>
      <c r="U32" s="19" t="s">
        <v>145</v>
      </c>
      <c r="V32" s="19" t="s">
        <v>146</v>
      </c>
      <c r="W32" s="12" t="s">
        <v>145</v>
      </c>
      <c r="X32" s="12" t="s">
        <v>145</v>
      </c>
      <c r="Y32" s="12" t="s">
        <v>145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3">
        <f t="shared" si="0"/>
        <v>19</v>
      </c>
      <c r="AM32" s="14">
        <f t="shared" si="1"/>
        <v>0</v>
      </c>
      <c r="AN32" s="15">
        <f t="shared" si="2"/>
        <v>0.59375</v>
      </c>
    </row>
    <row r="33" spans="1:40" ht="15.75" customHeight="1" x14ac:dyDescent="0.25">
      <c r="A33" s="24" t="s">
        <v>140</v>
      </c>
      <c r="B33" s="24"/>
      <c r="C33" s="24"/>
      <c r="D33" s="24"/>
      <c r="E33" s="1"/>
      <c r="F33" s="20">
        <f t="shared" ref="F33:AK33" si="3">COUNTIF(F6:F32,"A")</f>
        <v>27</v>
      </c>
      <c r="G33" s="20">
        <f t="shared" si="3"/>
        <v>27</v>
      </c>
      <c r="H33" s="20">
        <f t="shared" si="3"/>
        <v>27</v>
      </c>
      <c r="I33" s="20">
        <f t="shared" si="3"/>
        <v>27</v>
      </c>
      <c r="J33" s="20">
        <f t="shared" si="3"/>
        <v>27</v>
      </c>
      <c r="K33" s="20">
        <f t="shared" si="3"/>
        <v>27</v>
      </c>
      <c r="L33" s="20">
        <f t="shared" si="3"/>
        <v>27</v>
      </c>
      <c r="M33" s="20">
        <f t="shared" si="3"/>
        <v>27</v>
      </c>
      <c r="N33" s="20">
        <f t="shared" si="3"/>
        <v>27</v>
      </c>
      <c r="O33" s="20">
        <f t="shared" si="3"/>
        <v>27</v>
      </c>
      <c r="P33" s="20">
        <f t="shared" si="3"/>
        <v>27</v>
      </c>
      <c r="Q33" s="20">
        <f t="shared" si="3"/>
        <v>27</v>
      </c>
      <c r="R33" s="20">
        <f t="shared" si="3"/>
        <v>27</v>
      </c>
      <c r="S33" s="20">
        <f t="shared" si="3"/>
        <v>27</v>
      </c>
      <c r="T33" s="20">
        <f t="shared" si="3"/>
        <v>27</v>
      </c>
      <c r="U33" s="20">
        <f t="shared" si="3"/>
        <v>27</v>
      </c>
      <c r="V33" s="20">
        <f t="shared" si="3"/>
        <v>0</v>
      </c>
      <c r="W33" s="20">
        <f t="shared" si="3"/>
        <v>25</v>
      </c>
      <c r="X33" s="20">
        <f t="shared" si="3"/>
        <v>27</v>
      </c>
      <c r="Y33" s="20">
        <f t="shared" si="3"/>
        <v>24</v>
      </c>
      <c r="Z33" s="20">
        <f t="shared" si="3"/>
        <v>0</v>
      </c>
      <c r="AA33" s="20">
        <f t="shared" si="3"/>
        <v>0</v>
      </c>
      <c r="AB33" s="20">
        <f t="shared" si="3"/>
        <v>0</v>
      </c>
      <c r="AC33" s="20">
        <f t="shared" si="3"/>
        <v>0</v>
      </c>
      <c r="AD33" s="20">
        <f t="shared" si="3"/>
        <v>0</v>
      </c>
      <c r="AE33" s="20">
        <f t="shared" si="3"/>
        <v>0</v>
      </c>
      <c r="AF33" s="20">
        <f t="shared" si="3"/>
        <v>0</v>
      </c>
      <c r="AG33" s="20">
        <f t="shared" si="3"/>
        <v>0</v>
      </c>
      <c r="AH33" s="20">
        <f t="shared" si="3"/>
        <v>0</v>
      </c>
      <c r="AI33" s="20">
        <f t="shared" si="3"/>
        <v>0</v>
      </c>
      <c r="AJ33" s="20">
        <f t="shared" si="3"/>
        <v>0</v>
      </c>
      <c r="AK33" s="20">
        <f t="shared" si="3"/>
        <v>0</v>
      </c>
      <c r="AL33" s="5"/>
      <c r="AM33" s="5"/>
      <c r="AN33" s="5"/>
    </row>
    <row r="34" spans="1:40" ht="15.75" customHeight="1" x14ac:dyDescent="0.25">
      <c r="A34" s="25" t="s">
        <v>141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</sheetData>
  <mergeCells count="20">
    <mergeCell ref="AJ3:AK3"/>
    <mergeCell ref="A33:D33"/>
    <mergeCell ref="A34:AN34"/>
    <mergeCell ref="A1:AN1"/>
    <mergeCell ref="A2:AN2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</mergeCells>
  <conditionalFormatting sqref="AN6:AN32">
    <cfRule type="expression" dxfId="1" priority="2">
      <formula>AN6&lt;0.8</formula>
    </cfRule>
    <cfRule type="expression" dxfId="0" priority="3">
      <formula>AN6&gt;=0.8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2" customWidth="1"/>
    <col min="3" max="3" width="20" customWidth="1"/>
    <col min="4" max="5" width="12" customWidth="1"/>
    <col min="6" max="6" width="8" customWidth="1"/>
    <col min="7" max="7" width="10" customWidth="1"/>
    <col min="8" max="8" width="14" customWidth="1"/>
  </cols>
  <sheetData>
    <row r="1" spans="1:8" ht="24" customHeight="1" x14ac:dyDescent="0.25">
      <c r="A1" s="26" t="s">
        <v>142</v>
      </c>
      <c r="B1" s="26"/>
      <c r="C1" s="26"/>
      <c r="D1" s="26"/>
      <c r="E1" s="26"/>
      <c r="F1" s="26"/>
      <c r="G1" s="26"/>
      <c r="H1" s="26"/>
    </row>
    <row r="2" spans="1:8" ht="18" customHeight="1" x14ac:dyDescent="0.25">
      <c r="A2" s="21" t="s">
        <v>2</v>
      </c>
      <c r="B2" s="21" t="s">
        <v>3</v>
      </c>
      <c r="C2" s="21" t="s">
        <v>4</v>
      </c>
      <c r="D2" s="21" t="s">
        <v>5</v>
      </c>
      <c r="E2" s="21" t="s">
        <v>143</v>
      </c>
      <c r="F2" s="21" t="s">
        <v>23</v>
      </c>
      <c r="G2" s="21" t="s">
        <v>24</v>
      </c>
      <c r="H2" s="21" t="s">
        <v>144</v>
      </c>
    </row>
    <row r="3" spans="1:8" ht="15" customHeight="1" x14ac:dyDescent="0.25">
      <c r="A3" s="9">
        <v>1</v>
      </c>
      <c r="B3" s="10" t="s">
        <v>59</v>
      </c>
      <c r="C3" s="10" t="s">
        <v>60</v>
      </c>
      <c r="D3" s="11" t="s">
        <v>61</v>
      </c>
      <c r="E3" s="13">
        <f>Asistencia!AL6</f>
        <v>19</v>
      </c>
      <c r="F3" s="14">
        <f>Asistencia!AM6</f>
        <v>0</v>
      </c>
      <c r="G3" s="15">
        <f>Asistencia!AN6</f>
        <v>0.59375</v>
      </c>
      <c r="H3" s="9" t="str">
        <f>IF(Asistencia!AN6="","Sin datos",IF(Asistencia!AN6&gt;=0.8,"✅ Regular","⚠️ En riesgo"))</f>
        <v>⚠️ En riesgo</v>
      </c>
    </row>
    <row r="4" spans="1:8" ht="15" customHeight="1" x14ac:dyDescent="0.25">
      <c r="A4" s="16">
        <v>2</v>
      </c>
      <c r="B4" s="17" t="s">
        <v>62</v>
      </c>
      <c r="C4" s="17" t="s">
        <v>63</v>
      </c>
      <c r="D4" s="18" t="s">
        <v>64</v>
      </c>
      <c r="E4" s="13">
        <f>Asistencia!AL7</f>
        <v>19</v>
      </c>
      <c r="F4" s="14">
        <f>Asistencia!AM7</f>
        <v>0</v>
      </c>
      <c r="G4" s="15">
        <f>Asistencia!AN7</f>
        <v>0.59375</v>
      </c>
      <c r="H4" s="16" t="str">
        <f>IF(Asistencia!AN7="","Sin datos",IF(Asistencia!AN7&gt;=0.8,"✅ Regular","⚠️ En riesgo"))</f>
        <v>⚠️ En riesgo</v>
      </c>
    </row>
    <row r="5" spans="1:8" ht="15" customHeight="1" x14ac:dyDescent="0.25">
      <c r="A5" s="9">
        <v>3</v>
      </c>
      <c r="B5" s="10" t="s">
        <v>65</v>
      </c>
      <c r="C5" s="10" t="s">
        <v>66</v>
      </c>
      <c r="D5" s="11" t="s">
        <v>67</v>
      </c>
      <c r="E5" s="13">
        <f>Asistencia!AL8</f>
        <v>19</v>
      </c>
      <c r="F5" s="14">
        <f>Asistencia!AM8</f>
        <v>0</v>
      </c>
      <c r="G5" s="15">
        <f>Asistencia!AN8</f>
        <v>0.59375</v>
      </c>
      <c r="H5" s="9" t="str">
        <f>IF(Asistencia!AN8="","Sin datos",IF(Asistencia!AN8&gt;=0.8,"✅ Regular","⚠️ En riesgo"))</f>
        <v>⚠️ En riesgo</v>
      </c>
    </row>
    <row r="6" spans="1:8" ht="15" customHeight="1" x14ac:dyDescent="0.25">
      <c r="A6" s="16">
        <v>4</v>
      </c>
      <c r="B6" s="17" t="s">
        <v>68</v>
      </c>
      <c r="C6" s="17" t="s">
        <v>69</v>
      </c>
      <c r="D6" s="18" t="s">
        <v>70</v>
      </c>
      <c r="E6" s="13">
        <f>Asistencia!AL9</f>
        <v>19</v>
      </c>
      <c r="F6" s="14">
        <f>Asistencia!AM9</f>
        <v>0</v>
      </c>
      <c r="G6" s="15">
        <f>Asistencia!AN9</f>
        <v>0.59375</v>
      </c>
      <c r="H6" s="16" t="str">
        <f>IF(Asistencia!AN9="","Sin datos",IF(Asistencia!AN9&gt;=0.8,"✅ Regular","⚠️ En riesgo"))</f>
        <v>⚠️ En riesgo</v>
      </c>
    </row>
    <row r="7" spans="1:8" ht="15" customHeight="1" x14ac:dyDescent="0.25">
      <c r="A7" s="9">
        <v>5</v>
      </c>
      <c r="B7" s="10" t="s">
        <v>71</v>
      </c>
      <c r="C7" s="10" t="s">
        <v>72</v>
      </c>
      <c r="D7" s="11" t="s">
        <v>73</v>
      </c>
      <c r="E7" s="13">
        <f>Asistencia!AL10</f>
        <v>19</v>
      </c>
      <c r="F7" s="14">
        <f>Asistencia!AM10</f>
        <v>0</v>
      </c>
      <c r="G7" s="15">
        <f>Asistencia!AN10</f>
        <v>0.59375</v>
      </c>
      <c r="H7" s="9" t="str">
        <f>IF(Asistencia!AN10="","Sin datos",IF(Asistencia!AN10&gt;=0.8,"✅ Regular","⚠️ En riesgo"))</f>
        <v>⚠️ En riesgo</v>
      </c>
    </row>
    <row r="8" spans="1:8" ht="15" customHeight="1" x14ac:dyDescent="0.25">
      <c r="A8" s="16">
        <v>6</v>
      </c>
      <c r="B8" s="17" t="s">
        <v>74</v>
      </c>
      <c r="C8" s="17" t="s">
        <v>75</v>
      </c>
      <c r="D8" s="18" t="s">
        <v>76</v>
      </c>
      <c r="E8" s="13">
        <f>Asistencia!AL11</f>
        <v>19</v>
      </c>
      <c r="F8" s="14">
        <f>Asistencia!AM11</f>
        <v>0</v>
      </c>
      <c r="G8" s="15">
        <f>Asistencia!AN11</f>
        <v>0.59375</v>
      </c>
      <c r="H8" s="16" t="str">
        <f>IF(Asistencia!AN11="","Sin datos",IF(Asistencia!AN11&gt;=0.8,"✅ Regular","⚠️ En riesgo"))</f>
        <v>⚠️ En riesgo</v>
      </c>
    </row>
    <row r="9" spans="1:8" ht="15" customHeight="1" x14ac:dyDescent="0.25">
      <c r="A9" s="9">
        <v>7</v>
      </c>
      <c r="B9" s="10" t="s">
        <v>77</v>
      </c>
      <c r="C9" s="10" t="s">
        <v>78</v>
      </c>
      <c r="D9" s="11" t="s">
        <v>79</v>
      </c>
      <c r="E9" s="13">
        <f>Asistencia!AL12</f>
        <v>19</v>
      </c>
      <c r="F9" s="14">
        <f>Asistencia!AM12</f>
        <v>0</v>
      </c>
      <c r="G9" s="15">
        <f>Asistencia!AN12</f>
        <v>0.59375</v>
      </c>
      <c r="H9" s="9" t="str">
        <f>IF(Asistencia!AN12="","Sin datos",IF(Asistencia!AN12&gt;=0.8,"✅ Regular","⚠️ En riesgo"))</f>
        <v>⚠️ En riesgo</v>
      </c>
    </row>
    <row r="10" spans="1:8" ht="15" customHeight="1" x14ac:dyDescent="0.25">
      <c r="A10" s="16">
        <v>8</v>
      </c>
      <c r="B10" s="17" t="s">
        <v>80</v>
      </c>
      <c r="C10" s="17" t="s">
        <v>81</v>
      </c>
      <c r="D10" s="18" t="s">
        <v>82</v>
      </c>
      <c r="E10" s="13">
        <f>Asistencia!AL13</f>
        <v>19</v>
      </c>
      <c r="F10" s="14">
        <f>Asistencia!AM13</f>
        <v>0</v>
      </c>
      <c r="G10" s="15">
        <f>Asistencia!AN13</f>
        <v>0.59375</v>
      </c>
      <c r="H10" s="16" t="str">
        <f>IF(Asistencia!AN13="","Sin datos",IF(Asistencia!AN13&gt;=0.8,"✅ Regular","⚠️ En riesgo"))</f>
        <v>⚠️ En riesgo</v>
      </c>
    </row>
    <row r="11" spans="1:8" ht="15" customHeight="1" x14ac:dyDescent="0.25">
      <c r="A11" s="9">
        <v>9</v>
      </c>
      <c r="B11" s="10" t="s">
        <v>83</v>
      </c>
      <c r="C11" s="10" t="s">
        <v>84</v>
      </c>
      <c r="D11" s="11" t="s">
        <v>85</v>
      </c>
      <c r="E11" s="13">
        <f>Asistencia!AL14</f>
        <v>19</v>
      </c>
      <c r="F11" s="14">
        <f>Asistencia!AM14</f>
        <v>0</v>
      </c>
      <c r="G11" s="15">
        <f>Asistencia!AN14</f>
        <v>0.59375</v>
      </c>
      <c r="H11" s="9" t="str">
        <f>IF(Asistencia!AN14="","Sin datos",IF(Asistencia!AN14&gt;=0.8,"✅ Regular","⚠️ En riesgo"))</f>
        <v>⚠️ En riesgo</v>
      </c>
    </row>
    <row r="12" spans="1:8" ht="15" customHeight="1" x14ac:dyDescent="0.25">
      <c r="A12" s="16">
        <v>10</v>
      </c>
      <c r="B12" s="17" t="s">
        <v>86</v>
      </c>
      <c r="C12" s="17" t="s">
        <v>87</v>
      </c>
      <c r="D12" s="18" t="s">
        <v>88</v>
      </c>
      <c r="E12" s="13">
        <f>Asistencia!AL15</f>
        <v>19</v>
      </c>
      <c r="F12" s="14">
        <f>Asistencia!AM15</f>
        <v>0</v>
      </c>
      <c r="G12" s="15">
        <f>Asistencia!AN15</f>
        <v>0.59375</v>
      </c>
      <c r="H12" s="16" t="str">
        <f>IF(Asistencia!AN15="","Sin datos",IF(Asistencia!AN15&gt;=0.8,"✅ Regular","⚠️ En riesgo"))</f>
        <v>⚠️ En riesgo</v>
      </c>
    </row>
    <row r="13" spans="1:8" ht="15" customHeight="1" x14ac:dyDescent="0.25">
      <c r="A13" s="9">
        <v>11</v>
      </c>
      <c r="B13" s="10" t="s">
        <v>89</v>
      </c>
      <c r="C13" s="10" t="s">
        <v>90</v>
      </c>
      <c r="D13" s="11" t="s">
        <v>91</v>
      </c>
      <c r="E13" s="13">
        <f>Asistencia!AL16</f>
        <v>19</v>
      </c>
      <c r="F13" s="14">
        <f>Asistencia!AM16</f>
        <v>0</v>
      </c>
      <c r="G13" s="15">
        <f>Asistencia!AN16</f>
        <v>0.59375</v>
      </c>
      <c r="H13" s="9" t="str">
        <f>IF(Asistencia!AN16="","Sin datos",IF(Asistencia!AN16&gt;=0.8,"✅ Regular","⚠️ En riesgo"))</f>
        <v>⚠️ En riesgo</v>
      </c>
    </row>
    <row r="14" spans="1:8" ht="15" customHeight="1" x14ac:dyDescent="0.25">
      <c r="A14" s="16">
        <v>12</v>
      </c>
      <c r="B14" s="17" t="s">
        <v>92</v>
      </c>
      <c r="C14" s="17" t="s">
        <v>93</v>
      </c>
      <c r="D14" s="18" t="s">
        <v>94</v>
      </c>
      <c r="E14" s="13">
        <f>Asistencia!AL17</f>
        <v>18</v>
      </c>
      <c r="F14" s="14">
        <f>Asistencia!AM17</f>
        <v>1</v>
      </c>
      <c r="G14" s="15">
        <f>Asistencia!AN17</f>
        <v>0.5625</v>
      </c>
      <c r="H14" s="16" t="str">
        <f>IF(Asistencia!AN17="","Sin datos",IF(Asistencia!AN17&gt;=0.8,"✅ Regular","⚠️ En riesgo"))</f>
        <v>⚠️ En riesgo</v>
      </c>
    </row>
    <row r="15" spans="1:8" ht="15" customHeight="1" x14ac:dyDescent="0.25">
      <c r="A15" s="9">
        <v>13</v>
      </c>
      <c r="B15" s="10" t="s">
        <v>95</v>
      </c>
      <c r="C15" s="10" t="s">
        <v>96</v>
      </c>
      <c r="D15" s="11" t="s">
        <v>97</v>
      </c>
      <c r="E15" s="13">
        <f>Asistencia!AL18</f>
        <v>19</v>
      </c>
      <c r="F15" s="14">
        <f>Asistencia!AM18</f>
        <v>0</v>
      </c>
      <c r="G15" s="15">
        <f>Asistencia!AN18</f>
        <v>0.59375</v>
      </c>
      <c r="H15" s="9" t="str">
        <f>IF(Asistencia!AN18="","Sin datos",IF(Asistencia!AN18&gt;=0.8,"✅ Regular","⚠️ En riesgo"))</f>
        <v>⚠️ En riesgo</v>
      </c>
    </row>
    <row r="16" spans="1:8" ht="15" customHeight="1" x14ac:dyDescent="0.25">
      <c r="A16" s="16">
        <v>14</v>
      </c>
      <c r="B16" s="17" t="s">
        <v>98</v>
      </c>
      <c r="C16" s="17" t="s">
        <v>99</v>
      </c>
      <c r="D16" s="18" t="s">
        <v>100</v>
      </c>
      <c r="E16" s="13">
        <f>Asistencia!AL19</f>
        <v>19</v>
      </c>
      <c r="F16" s="14">
        <f>Asistencia!AM19</f>
        <v>0</v>
      </c>
      <c r="G16" s="15">
        <f>Asistencia!AN19</f>
        <v>0.59375</v>
      </c>
      <c r="H16" s="16" t="str">
        <f>IF(Asistencia!AN19="","Sin datos",IF(Asistencia!AN19&gt;=0.8,"✅ Regular","⚠️ En riesgo"))</f>
        <v>⚠️ En riesgo</v>
      </c>
    </row>
    <row r="17" spans="1:8" ht="15" customHeight="1" x14ac:dyDescent="0.25">
      <c r="A17" s="9">
        <v>15</v>
      </c>
      <c r="B17" s="10" t="s">
        <v>101</v>
      </c>
      <c r="C17" s="10" t="s">
        <v>102</v>
      </c>
      <c r="D17" s="11" t="s">
        <v>103</v>
      </c>
      <c r="E17" s="13">
        <f>Asistencia!AL20</f>
        <v>18</v>
      </c>
      <c r="F17" s="14">
        <f>Asistencia!AM20</f>
        <v>1</v>
      </c>
      <c r="G17" s="15">
        <f>Asistencia!AN20</f>
        <v>0.5625</v>
      </c>
      <c r="H17" s="9" t="str">
        <f>IF(Asistencia!AN20="","Sin datos",IF(Asistencia!AN20&gt;=0.8,"✅ Regular","⚠️ En riesgo"))</f>
        <v>⚠️ En riesgo</v>
      </c>
    </row>
    <row r="18" spans="1:8" ht="15" customHeight="1" x14ac:dyDescent="0.25">
      <c r="A18" s="16">
        <v>16</v>
      </c>
      <c r="B18" s="17" t="s">
        <v>104</v>
      </c>
      <c r="C18" s="17" t="s">
        <v>105</v>
      </c>
      <c r="D18" s="18" t="s">
        <v>106</v>
      </c>
      <c r="E18" s="13">
        <f>Asistencia!AL21</f>
        <v>18</v>
      </c>
      <c r="F18" s="14">
        <f>Asistencia!AM21</f>
        <v>1</v>
      </c>
      <c r="G18" s="15">
        <f>Asistencia!AN21</f>
        <v>0.5625</v>
      </c>
      <c r="H18" s="16" t="str">
        <f>IF(Asistencia!AN21="","Sin datos",IF(Asistencia!AN21&gt;=0.8,"✅ Regular","⚠️ En riesgo"))</f>
        <v>⚠️ En riesgo</v>
      </c>
    </row>
    <row r="19" spans="1:8" ht="15" customHeight="1" x14ac:dyDescent="0.25">
      <c r="A19" s="9">
        <v>17</v>
      </c>
      <c r="B19" s="10" t="s">
        <v>107</v>
      </c>
      <c r="C19" s="10" t="s">
        <v>108</v>
      </c>
      <c r="D19" s="11" t="s">
        <v>109</v>
      </c>
      <c r="E19" s="13">
        <f>Asistencia!AL22</f>
        <v>19</v>
      </c>
      <c r="F19" s="14">
        <f>Asistencia!AM22</f>
        <v>0</v>
      </c>
      <c r="G19" s="15">
        <f>Asistencia!AN22</f>
        <v>0.59375</v>
      </c>
      <c r="H19" s="9" t="str">
        <f>IF(Asistencia!AN22="","Sin datos",IF(Asistencia!AN22&gt;=0.8,"✅ Regular","⚠️ En riesgo"))</f>
        <v>⚠️ En riesgo</v>
      </c>
    </row>
    <row r="20" spans="1:8" ht="15" customHeight="1" x14ac:dyDescent="0.25">
      <c r="A20" s="16">
        <v>18</v>
      </c>
      <c r="B20" s="17" t="s">
        <v>110</v>
      </c>
      <c r="C20" s="17" t="s">
        <v>111</v>
      </c>
      <c r="D20" s="18" t="s">
        <v>112</v>
      </c>
      <c r="E20" s="13">
        <f>Asistencia!AL23</f>
        <v>19</v>
      </c>
      <c r="F20" s="14">
        <f>Asistencia!AM23</f>
        <v>0</v>
      </c>
      <c r="G20" s="15">
        <f>Asistencia!AN23</f>
        <v>0.59375</v>
      </c>
      <c r="H20" s="16" t="str">
        <f>IF(Asistencia!AN23="","Sin datos",IF(Asistencia!AN23&gt;=0.8,"✅ Regular","⚠️ En riesgo"))</f>
        <v>⚠️ En riesgo</v>
      </c>
    </row>
    <row r="21" spans="1:8" ht="15" customHeight="1" x14ac:dyDescent="0.25">
      <c r="A21" s="9">
        <v>19</v>
      </c>
      <c r="B21" s="10" t="s">
        <v>113</v>
      </c>
      <c r="C21" s="10" t="s">
        <v>114</v>
      </c>
      <c r="D21" s="11" t="s">
        <v>115</v>
      </c>
      <c r="E21" s="13">
        <f>Asistencia!AL24</f>
        <v>19</v>
      </c>
      <c r="F21" s="14">
        <f>Asistencia!AM24</f>
        <v>0</v>
      </c>
      <c r="G21" s="15">
        <f>Asistencia!AN24</f>
        <v>0.59375</v>
      </c>
      <c r="H21" s="9" t="str">
        <f>IF(Asistencia!AN24="","Sin datos",IF(Asistencia!AN24&gt;=0.8,"✅ Regular","⚠️ En riesgo"))</f>
        <v>⚠️ En riesgo</v>
      </c>
    </row>
    <row r="22" spans="1:8" ht="15" customHeight="1" x14ac:dyDescent="0.25">
      <c r="A22" s="16">
        <v>20</v>
      </c>
      <c r="B22" s="17" t="s">
        <v>116</v>
      </c>
      <c r="C22" s="17" t="s">
        <v>117</v>
      </c>
      <c r="D22" s="18" t="s">
        <v>118</v>
      </c>
      <c r="E22" s="13">
        <f>Asistencia!AL25</f>
        <v>19</v>
      </c>
      <c r="F22" s="14">
        <f>Asistencia!AM25</f>
        <v>0</v>
      </c>
      <c r="G22" s="15">
        <f>Asistencia!AN25</f>
        <v>0.59375</v>
      </c>
      <c r="H22" s="16" t="str">
        <f>IF(Asistencia!AN25="","Sin datos",IF(Asistencia!AN25&gt;=0.8,"✅ Regular","⚠️ En riesgo"))</f>
        <v>⚠️ En riesgo</v>
      </c>
    </row>
    <row r="23" spans="1:8" ht="15" customHeight="1" x14ac:dyDescent="0.25">
      <c r="A23" s="9">
        <v>21</v>
      </c>
      <c r="B23" s="10" t="s">
        <v>119</v>
      </c>
      <c r="C23" s="10" t="s">
        <v>120</v>
      </c>
      <c r="D23" s="11" t="s">
        <v>121</v>
      </c>
      <c r="E23" s="13">
        <f>Asistencia!AL26</f>
        <v>19</v>
      </c>
      <c r="F23" s="14">
        <f>Asistencia!AM26</f>
        <v>0</v>
      </c>
      <c r="G23" s="15">
        <f>Asistencia!AN26</f>
        <v>0.59375</v>
      </c>
      <c r="H23" s="9" t="str">
        <f>IF(Asistencia!AN26="","Sin datos",IF(Asistencia!AN26&gt;=0.8,"✅ Regular","⚠️ En riesgo"))</f>
        <v>⚠️ En riesgo</v>
      </c>
    </row>
    <row r="24" spans="1:8" ht="15" customHeight="1" x14ac:dyDescent="0.25">
      <c r="A24" s="16">
        <v>22</v>
      </c>
      <c r="B24" s="17" t="s">
        <v>122</v>
      </c>
      <c r="C24" s="17" t="s">
        <v>123</v>
      </c>
      <c r="D24" s="18" t="s">
        <v>124</v>
      </c>
      <c r="E24" s="13">
        <f>Asistencia!AL27</f>
        <v>19</v>
      </c>
      <c r="F24" s="14">
        <f>Asistencia!AM27</f>
        <v>0</v>
      </c>
      <c r="G24" s="15">
        <f>Asistencia!AN27</f>
        <v>0.59375</v>
      </c>
      <c r="H24" s="16" t="str">
        <f>IF(Asistencia!AN27="","Sin datos",IF(Asistencia!AN27&gt;=0.8,"✅ Regular","⚠️ En riesgo"))</f>
        <v>⚠️ En riesgo</v>
      </c>
    </row>
    <row r="25" spans="1:8" ht="15" customHeight="1" x14ac:dyDescent="0.25">
      <c r="A25" s="9">
        <v>23</v>
      </c>
      <c r="B25" s="10" t="s">
        <v>125</v>
      </c>
      <c r="C25" s="10" t="s">
        <v>126</v>
      </c>
      <c r="D25" s="11" t="s">
        <v>127</v>
      </c>
      <c r="E25" s="13">
        <f>Asistencia!AL28</f>
        <v>17</v>
      </c>
      <c r="F25" s="14">
        <f>Asistencia!AM28</f>
        <v>2</v>
      </c>
      <c r="G25" s="15">
        <f>Asistencia!AN28</f>
        <v>0.53125</v>
      </c>
      <c r="H25" s="9" t="str">
        <f>IF(Asistencia!AN28="","Sin datos",IF(Asistencia!AN28&gt;=0.8,"✅ Regular","⚠️ En riesgo"))</f>
        <v>⚠️ En riesgo</v>
      </c>
    </row>
    <row r="26" spans="1:8" ht="15" customHeight="1" x14ac:dyDescent="0.25">
      <c r="A26" s="16">
        <v>24</v>
      </c>
      <c r="B26" s="17" t="s">
        <v>128</v>
      </c>
      <c r="C26" s="17" t="s">
        <v>129</v>
      </c>
      <c r="D26" s="18" t="s">
        <v>130</v>
      </c>
      <c r="E26" s="13">
        <f>Asistencia!AL29</f>
        <v>19</v>
      </c>
      <c r="F26" s="14">
        <f>Asistencia!AM29</f>
        <v>0</v>
      </c>
      <c r="G26" s="15">
        <f>Asistencia!AN29</f>
        <v>0.59375</v>
      </c>
      <c r="H26" s="16" t="str">
        <f>IF(Asistencia!AN29="","Sin datos",IF(Asistencia!AN29&gt;=0.8,"✅ Regular","⚠️ En riesgo"))</f>
        <v>⚠️ En riesgo</v>
      </c>
    </row>
    <row r="27" spans="1:8" ht="15" customHeight="1" x14ac:dyDescent="0.25">
      <c r="A27" s="9">
        <v>25</v>
      </c>
      <c r="B27" s="10" t="s">
        <v>131</v>
      </c>
      <c r="C27" s="10" t="s">
        <v>132</v>
      </c>
      <c r="D27" s="11" t="s">
        <v>133</v>
      </c>
      <c r="E27" s="13">
        <f>Asistencia!AL30</f>
        <v>19</v>
      </c>
      <c r="F27" s="14">
        <f>Asistencia!AM30</f>
        <v>0</v>
      </c>
      <c r="G27" s="15">
        <f>Asistencia!AN30</f>
        <v>0.59375</v>
      </c>
      <c r="H27" s="9" t="str">
        <f>IF(Asistencia!AN30="","Sin datos",IF(Asistencia!AN30&gt;=0.8,"✅ Regular","⚠️ En riesgo"))</f>
        <v>⚠️ En riesgo</v>
      </c>
    </row>
    <row r="28" spans="1:8" ht="15" customHeight="1" x14ac:dyDescent="0.25">
      <c r="A28" s="16">
        <v>26</v>
      </c>
      <c r="B28" s="17" t="s">
        <v>134</v>
      </c>
      <c r="C28" s="17" t="s">
        <v>135</v>
      </c>
      <c r="D28" s="18" t="s">
        <v>136</v>
      </c>
      <c r="E28" s="13">
        <f>Asistencia!AL31</f>
        <v>19</v>
      </c>
      <c r="F28" s="14">
        <f>Asistencia!AM31</f>
        <v>0</v>
      </c>
      <c r="G28" s="15">
        <f>Asistencia!AN31</f>
        <v>0.59375</v>
      </c>
      <c r="H28" s="16" t="str">
        <f>IF(Asistencia!AN31="","Sin datos",IF(Asistencia!AN31&gt;=0.8,"✅ Regular","⚠️ En riesgo"))</f>
        <v>⚠️ En riesgo</v>
      </c>
    </row>
    <row r="29" spans="1:8" ht="15" customHeight="1" x14ac:dyDescent="0.25">
      <c r="A29" s="9">
        <v>27</v>
      </c>
      <c r="B29" s="10" t="s">
        <v>137</v>
      </c>
      <c r="C29" s="10" t="s">
        <v>138</v>
      </c>
      <c r="D29" s="11" t="s">
        <v>139</v>
      </c>
      <c r="E29" s="13">
        <f>Asistencia!AL32</f>
        <v>19</v>
      </c>
      <c r="F29" s="14">
        <f>Asistencia!AM32</f>
        <v>0</v>
      </c>
      <c r="G29" s="15">
        <f>Asistencia!AN32</f>
        <v>0.59375</v>
      </c>
      <c r="H29" s="9" t="str">
        <f>IF(Asistencia!AN32="","Sin datos",IF(Asistencia!AN32&gt;=0.8,"✅ Regular","⚠️ En riesgo"))</f>
        <v>⚠️ En riesgo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Asistencia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Pulido Rosas</cp:lastModifiedBy>
  <cp:revision>0</cp:revision>
  <dcterms:created xsi:type="dcterms:W3CDTF">2026-03-18T12:22:42Z</dcterms:created>
  <dcterms:modified xsi:type="dcterms:W3CDTF">2026-03-25T16:41:10Z</dcterms:modified>
  <dc:language>en-US</dc:language>
</cp:coreProperties>
</file>